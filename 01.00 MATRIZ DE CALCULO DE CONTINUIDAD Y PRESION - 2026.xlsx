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aragon\www\gecopre\"/>
    </mc:Choice>
  </mc:AlternateContent>
  <xr:revisionPtr revIDLastSave="0" documentId="13_ncr:1_{308DBA7F-E958-4A7C-A136-F156F2916629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CONTINUIDAD" sheetId="1" r:id="rId1"/>
    <sheet name="PRES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5" i="1" l="1"/>
  <c r="Z84" i="1"/>
  <c r="Z81" i="1"/>
  <c r="Z80" i="1"/>
  <c r="Z65" i="1"/>
  <c r="Z64" i="1"/>
  <c r="AA64" i="1"/>
  <c r="X91" i="3" l="1"/>
  <c r="Y91" i="3"/>
  <c r="Z91" i="3"/>
  <c r="AA91" i="3"/>
  <c r="AB91" i="3"/>
  <c r="AC91" i="3"/>
  <c r="AD91" i="3"/>
  <c r="AE91" i="3"/>
  <c r="X89" i="3" l="1"/>
  <c r="Y89" i="3"/>
  <c r="Z89" i="3"/>
  <c r="AA89" i="3"/>
  <c r="AB89" i="3"/>
  <c r="AC89" i="3"/>
  <c r="AD89" i="3"/>
  <c r="AE89" i="3"/>
  <c r="AF89" i="3"/>
  <c r="W89" i="3"/>
  <c r="X107" i="3"/>
  <c r="Y107" i="3"/>
  <c r="Z107" i="3"/>
  <c r="AA107" i="3"/>
  <c r="AB107" i="3"/>
  <c r="AC107" i="3"/>
  <c r="AD107" i="3"/>
  <c r="AE107" i="3"/>
  <c r="AF107" i="3"/>
  <c r="W107" i="3"/>
  <c r="X75" i="3"/>
  <c r="Y75" i="3"/>
  <c r="Z75" i="3"/>
  <c r="AA75" i="3"/>
  <c r="AB75" i="3"/>
  <c r="AC75" i="3"/>
  <c r="AD75" i="3"/>
  <c r="AE75" i="3"/>
  <c r="W75" i="3"/>
  <c r="X71" i="3"/>
  <c r="Y71" i="3"/>
  <c r="Z71" i="3"/>
  <c r="AA71" i="3"/>
  <c r="AB71" i="3"/>
  <c r="AC71" i="3"/>
  <c r="AD71" i="3"/>
  <c r="AE71" i="3"/>
  <c r="AF71" i="3"/>
  <c r="W71" i="3"/>
  <c r="X42" i="3"/>
  <c r="Y42" i="3"/>
  <c r="Z42" i="3"/>
  <c r="AA42" i="3"/>
  <c r="AB42" i="3"/>
  <c r="AC42" i="3"/>
  <c r="AD42" i="3"/>
  <c r="AE42" i="3"/>
  <c r="X39" i="3"/>
  <c r="Y39" i="3"/>
  <c r="Z39" i="3"/>
  <c r="AA39" i="3"/>
  <c r="AB39" i="3"/>
  <c r="AC39" i="3"/>
  <c r="AD39" i="3"/>
  <c r="AE39" i="3"/>
  <c r="W39" i="3"/>
  <c r="X38" i="3"/>
  <c r="Y38" i="3"/>
  <c r="Z38" i="3"/>
  <c r="AA38" i="3"/>
  <c r="AB38" i="3"/>
  <c r="AC38" i="3"/>
  <c r="AD38" i="3"/>
  <c r="AE38" i="3"/>
  <c r="AF38" i="3"/>
  <c r="X37" i="3"/>
  <c r="Y37" i="3"/>
  <c r="Z37" i="3"/>
  <c r="AA37" i="3"/>
  <c r="AB37" i="3"/>
  <c r="AC37" i="3"/>
  <c r="AD37" i="3"/>
  <c r="AE37" i="3"/>
  <c r="AF37" i="3"/>
  <c r="AG37" i="3"/>
  <c r="X27" i="3"/>
  <c r="Y27" i="3"/>
  <c r="Z27" i="3"/>
  <c r="AA27" i="3"/>
  <c r="AB27" i="3"/>
  <c r="AC27" i="3"/>
  <c r="AD27" i="3"/>
  <c r="AE27" i="3"/>
  <c r="AF27" i="3"/>
  <c r="AG27" i="3"/>
  <c r="W27" i="3"/>
  <c r="V23" i="3" l="1"/>
  <c r="W21" i="3"/>
  <c r="X21" i="3"/>
  <c r="Y21" i="3"/>
  <c r="Z21" i="3"/>
  <c r="AA21" i="3"/>
  <c r="AB21" i="3"/>
  <c r="AC21" i="3"/>
  <c r="AD21" i="3"/>
  <c r="AE21" i="3"/>
  <c r="AF21" i="3"/>
  <c r="AG21" i="3"/>
  <c r="W79" i="1" l="1"/>
  <c r="W80" i="1"/>
  <c r="W81" i="1"/>
  <c r="W82" i="1"/>
  <c r="W83" i="1"/>
  <c r="W84" i="1"/>
  <c r="W85" i="1"/>
  <c r="W78" i="1"/>
  <c r="W77" i="1"/>
  <c r="T38" i="1" l="1"/>
  <c r="T37" i="1"/>
  <c r="T36" i="1"/>
  <c r="U51" i="1" l="1"/>
  <c r="U50" i="1"/>
  <c r="U49" i="1"/>
  <c r="T96" i="1" l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2" i="1"/>
  <c r="Z83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W107" i="1"/>
  <c r="W108" i="1"/>
  <c r="W109" i="1"/>
  <c r="W110" i="1"/>
  <c r="W111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77" i="1"/>
  <c r="U78" i="1"/>
  <c r="U79" i="1"/>
  <c r="U67" i="1"/>
  <c r="U68" i="1"/>
  <c r="U69" i="1"/>
  <c r="U70" i="1"/>
  <c r="U71" i="1"/>
  <c r="U72" i="1"/>
  <c r="U73" i="1"/>
  <c r="U64" i="1"/>
  <c r="U62" i="1"/>
  <c r="U57" i="1"/>
  <c r="U58" i="1"/>
  <c r="U59" i="1"/>
  <c r="U60" i="1"/>
  <c r="U61" i="1"/>
  <c r="U47" i="1"/>
  <c r="U39" i="1"/>
  <c r="U40" i="1"/>
  <c r="U41" i="1"/>
  <c r="U42" i="1"/>
  <c r="U43" i="1"/>
  <c r="U44" i="1"/>
  <c r="U45" i="1"/>
  <c r="U46" i="1"/>
  <c r="U30" i="1"/>
  <c r="U31" i="1"/>
  <c r="U32" i="1"/>
  <c r="U33" i="1"/>
  <c r="U34" i="1"/>
  <c r="U29" i="1"/>
  <c r="U28" i="1"/>
  <c r="U35" i="1" l="1"/>
  <c r="U26" i="1"/>
  <c r="U27" i="1"/>
  <c r="U36" i="1"/>
  <c r="U37" i="1"/>
  <c r="U38" i="1"/>
  <c r="U48" i="1"/>
  <c r="U52" i="1"/>
  <c r="U53" i="1"/>
  <c r="U54" i="1"/>
  <c r="U55" i="1"/>
  <c r="U56" i="1"/>
  <c r="U63" i="1"/>
  <c r="U65" i="1"/>
  <c r="U66" i="1"/>
  <c r="U74" i="1"/>
  <c r="U75" i="1"/>
  <c r="U76" i="1"/>
  <c r="T21" i="1"/>
  <c r="BR36" i="1"/>
  <c r="AG107" i="3" l="1"/>
  <c r="W100" i="3"/>
  <c r="AA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V91" i="3"/>
  <c r="AG89" i="3"/>
  <c r="V89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Z87" i="3"/>
  <c r="Y87" i="3"/>
  <c r="X87" i="3"/>
  <c r="AV87" i="3" s="1"/>
  <c r="W87" i="3"/>
  <c r="AG87" i="3"/>
  <c r="AF87" i="3"/>
  <c r="AE87" i="3"/>
  <c r="AE83" i="3"/>
  <c r="AF83" i="3"/>
  <c r="AB79" i="3"/>
  <c r="AD79" i="3"/>
  <c r="AC79" i="3"/>
  <c r="AA79" i="3"/>
  <c r="Y79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AB67" i="3"/>
  <c r="AA67" i="3"/>
  <c r="Y67" i="3"/>
  <c r="X67" i="3"/>
  <c r="V67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Z63" i="3"/>
  <c r="Y63" i="3"/>
  <c r="AC60" i="3"/>
  <c r="AB60" i="3"/>
  <c r="AF60" i="3"/>
  <c r="AE60" i="3"/>
  <c r="AD60" i="3"/>
  <c r="W57" i="3"/>
  <c r="AG57" i="3"/>
  <c r="AB57" i="3"/>
  <c r="V57" i="3"/>
  <c r="AF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W54" i="3"/>
  <c r="AG53" i="3"/>
  <c r="AF53" i="3"/>
  <c r="AE53" i="3"/>
  <c r="AD53" i="3"/>
  <c r="AC53" i="3"/>
  <c r="AB53" i="3"/>
  <c r="AA53" i="3"/>
  <c r="Z53" i="3"/>
  <c r="Y53" i="3"/>
  <c r="X53" i="3"/>
  <c r="W53" i="3"/>
  <c r="V53" i="3"/>
  <c r="AG52" i="3"/>
  <c r="AF52" i="3"/>
  <c r="Y52" i="3"/>
  <c r="V52" i="3"/>
  <c r="AE52" i="3"/>
  <c r="AD52" i="3"/>
  <c r="AC52" i="3"/>
  <c r="AB52" i="3"/>
  <c r="AA52" i="3"/>
  <c r="Z52" i="3"/>
  <c r="X52" i="3"/>
  <c r="W52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AF51" i="3"/>
  <c r="AG51" i="3"/>
  <c r="AE51" i="3"/>
  <c r="AD51" i="3"/>
  <c r="AC51" i="3"/>
  <c r="AB51" i="3"/>
  <c r="AA51" i="3"/>
  <c r="Z51" i="3"/>
  <c r="Y51" i="3"/>
  <c r="X51" i="3"/>
  <c r="W51" i="3"/>
  <c r="V51" i="3"/>
  <c r="AG50" i="3"/>
  <c r="AF50" i="3"/>
  <c r="AE50" i="3"/>
  <c r="AD50" i="3"/>
  <c r="AC50" i="3"/>
  <c r="AB50" i="3"/>
  <c r="AA50" i="3"/>
  <c r="Z50" i="3"/>
  <c r="Y50" i="3"/>
  <c r="X50" i="3"/>
  <c r="W50" i="3"/>
  <c r="V50" i="3"/>
  <c r="X49" i="3"/>
  <c r="W49" i="3"/>
  <c r="AG49" i="3"/>
  <c r="AF49" i="3"/>
  <c r="AE49" i="3"/>
  <c r="AD49" i="3"/>
  <c r="AC49" i="3"/>
  <c r="AB49" i="3"/>
  <c r="AA49" i="3"/>
  <c r="Z49" i="3"/>
  <c r="Y49" i="3"/>
  <c r="V49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AA48" i="3"/>
  <c r="Z48" i="3"/>
  <c r="Y48" i="3"/>
  <c r="X48" i="3"/>
  <c r="W48" i="3"/>
  <c r="AG48" i="3"/>
  <c r="AF48" i="3"/>
  <c r="AE48" i="3"/>
  <c r="AD48" i="3"/>
  <c r="AC48" i="3"/>
  <c r="AB48" i="3"/>
  <c r="V48" i="3"/>
  <c r="AB45" i="3"/>
  <c r="Y45" i="3"/>
  <c r="V42" i="3"/>
  <c r="W42" i="3"/>
  <c r="V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W38" i="3"/>
  <c r="V38" i="3"/>
  <c r="AG38" i="3"/>
  <c r="W37" i="3"/>
  <c r="V37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AE36" i="3"/>
  <c r="AC36" i="3"/>
  <c r="X36" i="3"/>
  <c r="W36" i="3"/>
  <c r="V36" i="3"/>
  <c r="AG36" i="3"/>
  <c r="AF36" i="3"/>
  <c r="AD36" i="3"/>
  <c r="AB36" i="3"/>
  <c r="AA36" i="3"/>
  <c r="Z36" i="3"/>
  <c r="Y36" i="3"/>
  <c r="AG33" i="3"/>
  <c r="V33" i="3"/>
  <c r="Z33" i="3"/>
  <c r="Y33" i="3"/>
  <c r="AG30" i="3"/>
  <c r="AE30" i="3"/>
  <c r="AD30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AB25" i="3"/>
  <c r="V25" i="3"/>
  <c r="AG25" i="3"/>
  <c r="AE25" i="3"/>
  <c r="AD25" i="3"/>
  <c r="AA25" i="3"/>
  <c r="Y25" i="3"/>
  <c r="AG23" i="3"/>
  <c r="Y23" i="3"/>
  <c r="W23" i="3"/>
  <c r="V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AB16" i="3"/>
  <c r="X16" i="3"/>
  <c r="AF16" i="3"/>
  <c r="W11" i="3"/>
  <c r="V11" i="3"/>
  <c r="AB11" i="3"/>
  <c r="X11" i="3"/>
  <c r="AG6" i="3"/>
  <c r="AB6" i="3"/>
  <c r="BQ6" i="3"/>
  <c r="BP6" i="3"/>
  <c r="BO6" i="3"/>
  <c r="BN6" i="3"/>
  <c r="BM6" i="3"/>
  <c r="BL6" i="3"/>
  <c r="BK6" i="3"/>
  <c r="BJ6" i="3"/>
  <c r="BI6" i="3"/>
  <c r="BH6" i="3"/>
  <c r="BG6" i="3"/>
  <c r="BF6" i="3"/>
  <c r="AC6" i="3"/>
  <c r="Z6" i="3"/>
  <c r="Y6" i="3"/>
  <c r="BR21" i="1"/>
  <c r="BS21" i="1"/>
  <c r="BV6" i="1"/>
  <c r="AY48" i="3" l="1"/>
  <c r="BA48" i="3"/>
  <c r="AW48" i="3"/>
  <c r="AX48" i="3"/>
  <c r="AU48" i="3"/>
  <c r="AV48" i="3"/>
  <c r="AZ48" i="3"/>
  <c r="AU36" i="3"/>
  <c r="CG6" i="3"/>
  <c r="AT51" i="3"/>
  <c r="CQ6" i="3"/>
  <c r="CN6" i="3"/>
  <c r="CO6" i="3"/>
  <c r="CI54" i="3"/>
  <c r="AY36" i="3"/>
  <c r="BC48" i="3"/>
  <c r="AT48" i="3"/>
  <c r="AU51" i="3"/>
  <c r="AV51" i="3"/>
  <c r="AW36" i="3"/>
  <c r="AX36" i="3"/>
  <c r="AY51" i="3"/>
  <c r="Z23" i="3"/>
  <c r="BE48" i="3"/>
  <c r="CF54" i="3"/>
  <c r="AG60" i="3"/>
  <c r="AC11" i="3"/>
  <c r="X45" i="3"/>
  <c r="CM54" i="3"/>
  <c r="CN54" i="3"/>
  <c r="DM6" i="3" s="1"/>
  <c r="AE23" i="3"/>
  <c r="BC21" i="3" s="1"/>
  <c r="AD33" i="3"/>
  <c r="BB27" i="3" s="1"/>
  <c r="CO54" i="3"/>
  <c r="AF67" i="3"/>
  <c r="AG83" i="3"/>
  <c r="AF30" i="3"/>
  <c r="W45" i="3"/>
  <c r="BB51" i="3"/>
  <c r="AC23" i="3"/>
  <c r="AF11" i="3"/>
  <c r="AC33" i="3"/>
  <c r="AD6" i="3"/>
  <c r="AF23" i="3"/>
  <c r="AA6" i="3"/>
  <c r="X30" i="3"/>
  <c r="AF33" i="3"/>
  <c r="AE54" i="3"/>
  <c r="CQ54" i="3"/>
  <c r="AC57" i="3"/>
  <c r="V60" i="3"/>
  <c r="AD63" i="3"/>
  <c r="V63" i="3"/>
  <c r="W91" i="3"/>
  <c r="AU87" i="3" s="1"/>
  <c r="Z67" i="3"/>
  <c r="AX63" i="3" s="1"/>
  <c r="BE21" i="3"/>
  <c r="AF25" i="3"/>
  <c r="AE16" i="3"/>
  <c r="AA23" i="3"/>
  <c r="AY21" i="3" s="1"/>
  <c r="AB23" i="3"/>
  <c r="AA45" i="3"/>
  <c r="BA51" i="3"/>
  <c r="CL54" i="3"/>
  <c r="AC67" i="3"/>
  <c r="V83" i="3"/>
  <c r="AF91" i="3"/>
  <c r="AG16" i="3"/>
  <c r="AG42" i="3"/>
  <c r="AG91" i="3"/>
  <c r="BE87" i="3" s="1"/>
  <c r="AD93" i="3"/>
  <c r="Z57" i="3"/>
  <c r="AE67" i="3"/>
  <c r="V75" i="3"/>
  <c r="Z100" i="3"/>
  <c r="AA16" i="3"/>
  <c r="W30" i="3"/>
  <c r="AZ39" i="3"/>
  <c r="AF39" i="3"/>
  <c r="CP54" i="3"/>
  <c r="AC63" i="3"/>
  <c r="BA63" i="3" s="1"/>
  <c r="V87" i="3"/>
  <c r="AT87" i="3" s="1"/>
  <c r="AB100" i="3"/>
  <c r="X100" i="3"/>
  <c r="V54" i="3"/>
  <c r="AD57" i="3"/>
  <c r="W60" i="3"/>
  <c r="AU54" i="3" s="1"/>
  <c r="W63" i="3"/>
  <c r="AA87" i="3"/>
  <c r="V100" i="3"/>
  <c r="V107" i="3"/>
  <c r="AT36" i="3"/>
  <c r="X79" i="3"/>
  <c r="AE11" i="3"/>
  <c r="AD16" i="3"/>
  <c r="CJ6" i="3"/>
  <c r="AD45" i="3"/>
  <c r="AG54" i="3"/>
  <c r="AE57" i="3"/>
  <c r="AF63" i="3"/>
  <c r="Z83" i="3"/>
  <c r="AW87" i="3"/>
  <c r="Z25" i="3"/>
  <c r="X54" i="3"/>
  <c r="AF57" i="3"/>
  <c r="BD54" i="3" s="1"/>
  <c r="AG63" i="3"/>
  <c r="AG71" i="3"/>
  <c r="AE79" i="3"/>
  <c r="AA83" i="3"/>
  <c r="AX87" i="3"/>
  <c r="AC100" i="3"/>
  <c r="CJ54" i="3"/>
  <c r="CF6" i="3"/>
  <c r="W33" i="3"/>
  <c r="Y54" i="3"/>
  <c r="AF79" i="3"/>
  <c r="V93" i="3"/>
  <c r="AD100" i="3"/>
  <c r="V6" i="3"/>
  <c r="Z16" i="3"/>
  <c r="AC16" i="3"/>
  <c r="X23" i="3"/>
  <c r="BE27" i="3"/>
  <c r="X33" i="3"/>
  <c r="AG45" i="3"/>
  <c r="CG54" i="3"/>
  <c r="W67" i="3"/>
  <c r="AG79" i="3"/>
  <c r="AE100" i="3"/>
  <c r="AC25" i="3"/>
  <c r="AC30" i="3"/>
  <c r="BE36" i="3"/>
  <c r="Z45" i="3"/>
  <c r="Z79" i="3"/>
  <c r="AD83" i="3"/>
  <c r="AB93" i="3"/>
  <c r="AF100" i="3"/>
  <c r="AZ6" i="3"/>
  <c r="BB48" i="3"/>
  <c r="Y100" i="3"/>
  <c r="X83" i="3"/>
  <c r="Y83" i="3"/>
  <c r="AW75" i="3" s="1"/>
  <c r="AA100" i="3"/>
  <c r="AY93" i="3" s="1"/>
  <c r="BC36" i="3"/>
  <c r="V79" i="3"/>
  <c r="AZ51" i="3"/>
  <c r="AA11" i="3"/>
  <c r="BD36" i="3"/>
  <c r="CI6" i="3"/>
  <c r="AD11" i="3"/>
  <c r="AF42" i="3"/>
  <c r="V45" i="3"/>
  <c r="AT39" i="3" s="1"/>
  <c r="BC51" i="3"/>
  <c r="X63" i="3"/>
  <c r="CK6" i="3"/>
  <c r="AA33" i="3"/>
  <c r="AB83" i="3"/>
  <c r="CL6" i="3"/>
  <c r="AG11" i="3"/>
  <c r="AB33" i="3"/>
  <c r="BA36" i="3"/>
  <c r="BD48" i="3"/>
  <c r="AA63" i="3"/>
  <c r="AY63" i="3" s="1"/>
  <c r="AC83" i="3"/>
  <c r="W79" i="3"/>
  <c r="AG100" i="3"/>
  <c r="Y60" i="3"/>
  <c r="Z54" i="3"/>
  <c r="CH6" i="3"/>
  <c r="Z30" i="3"/>
  <c r="AX51" i="3"/>
  <c r="Z60" i="3"/>
  <c r="AE63" i="3"/>
  <c r="V16" i="3"/>
  <c r="AT21" i="3"/>
  <c r="AA30" i="3"/>
  <c r="AV36" i="3"/>
  <c r="AG39" i="3"/>
  <c r="V71" i="3"/>
  <c r="AC93" i="3"/>
  <c r="BD51" i="3"/>
  <c r="W6" i="3"/>
  <c r="X60" i="3"/>
  <c r="AW63" i="3"/>
  <c r="AB63" i="3"/>
  <c r="AZ63" i="3" s="1"/>
  <c r="X6" i="3"/>
  <c r="AV6" i="3" s="1"/>
  <c r="V30" i="3"/>
  <c r="AD23" i="3"/>
  <c r="BB21" i="3" s="1"/>
  <c r="Y30" i="3"/>
  <c r="AE33" i="3"/>
  <c r="BC27" i="3" s="1"/>
  <c r="AW51" i="3"/>
  <c r="W16" i="3"/>
  <c r="BE51" i="3"/>
  <c r="AF75" i="3"/>
  <c r="AE93" i="3"/>
  <c r="Y11" i="3"/>
  <c r="AC54" i="3"/>
  <c r="AG75" i="3"/>
  <c r="AF93" i="3"/>
  <c r="AE6" i="3"/>
  <c r="Y16" i="3"/>
  <c r="X25" i="3"/>
  <c r="BB36" i="3"/>
  <c r="AD54" i="3"/>
  <c r="CH54" i="3"/>
  <c r="AD67" i="3"/>
  <c r="W83" i="3"/>
  <c r="AG93" i="3"/>
  <c r="CM6" i="3"/>
  <c r="AW21" i="3"/>
  <c r="AB30" i="3"/>
  <c r="CK54" i="3"/>
  <c r="AA60" i="3"/>
  <c r="AF6" i="3"/>
  <c r="AE45" i="3"/>
  <c r="X57" i="3"/>
  <c r="AG67" i="3"/>
  <c r="CP6" i="3"/>
  <c r="AW39" i="3"/>
  <c r="AF45" i="3"/>
  <c r="AC45" i="3"/>
  <c r="Y57" i="3"/>
  <c r="W93" i="3"/>
  <c r="AB87" i="3"/>
  <c r="AZ87" i="3" s="1"/>
  <c r="X93" i="3"/>
  <c r="Z11" i="3"/>
  <c r="AA54" i="3"/>
  <c r="AA57" i="3"/>
  <c r="AC87" i="3"/>
  <c r="BA87" i="3" s="1"/>
  <c r="Y93" i="3"/>
  <c r="W25" i="3"/>
  <c r="V27" i="3"/>
  <c r="AZ36" i="3"/>
  <c r="AB54" i="3"/>
  <c r="AZ54" i="3" s="1"/>
  <c r="AD87" i="3"/>
  <c r="BB87" i="3" s="1"/>
  <c r="Z93" i="3"/>
  <c r="AW116" i="3" l="1"/>
  <c r="BD21" i="3"/>
  <c r="AT116" i="3"/>
  <c r="AZ116" i="3"/>
  <c r="DP6" i="3"/>
  <c r="DN6" i="3"/>
  <c r="AU27" i="3"/>
  <c r="AT75" i="3"/>
  <c r="DJ6" i="3"/>
  <c r="DF6" i="3"/>
  <c r="AT93" i="3"/>
  <c r="DO6" i="3"/>
  <c r="DH6" i="3"/>
  <c r="BC87" i="3"/>
  <c r="BA39" i="3"/>
  <c r="AU21" i="3"/>
  <c r="BB54" i="3"/>
  <c r="DI6" i="3"/>
  <c r="AX39" i="3"/>
  <c r="AX116" i="3" s="1"/>
  <c r="DK6" i="3"/>
  <c r="BA27" i="3"/>
  <c r="BE6" i="3"/>
  <c r="BB39" i="3"/>
  <c r="BR48" i="3"/>
  <c r="BA6" i="3"/>
  <c r="BC75" i="3"/>
  <c r="BA21" i="3"/>
  <c r="BC54" i="3"/>
  <c r="AY39" i="3"/>
  <c r="AY116" i="3" s="1"/>
  <c r="AT63" i="3"/>
  <c r="AZ27" i="3"/>
  <c r="AY6" i="3"/>
  <c r="BR51" i="3"/>
  <c r="AT27" i="3"/>
  <c r="BD75" i="3"/>
  <c r="AU63" i="3"/>
  <c r="AX27" i="3"/>
  <c r="AY75" i="3"/>
  <c r="AT54" i="3"/>
  <c r="AV21" i="3"/>
  <c r="BB6" i="3"/>
  <c r="AZ21" i="3"/>
  <c r="BB63" i="3"/>
  <c r="AV27" i="3"/>
  <c r="AX75" i="3"/>
  <c r="BD87" i="3"/>
  <c r="AV54" i="3"/>
  <c r="BD27" i="3"/>
  <c r="AY27" i="3"/>
  <c r="BE54" i="3"/>
  <c r="AW27" i="3"/>
  <c r="BB75" i="3"/>
  <c r="AX6" i="3"/>
  <c r="AV39" i="3"/>
  <c r="AV116" i="3" s="1"/>
  <c r="BD6" i="3"/>
  <c r="AZ75" i="3"/>
  <c r="BB93" i="3"/>
  <c r="AV63" i="3"/>
  <c r="AX93" i="3"/>
  <c r="BE75" i="3"/>
  <c r="BA54" i="3"/>
  <c r="AZ93" i="3"/>
  <c r="BE63" i="3"/>
  <c r="BE39" i="3"/>
  <c r="BC6" i="3"/>
  <c r="AV93" i="3"/>
  <c r="AV75" i="3"/>
  <c r="DE6" i="3"/>
  <c r="AU93" i="3"/>
  <c r="BA75" i="3"/>
  <c r="AW54" i="3"/>
  <c r="BE93" i="3"/>
  <c r="AW6" i="3"/>
  <c r="AX21" i="3"/>
  <c r="BC39" i="3"/>
  <c r="BD63" i="3"/>
  <c r="DL6" i="3"/>
  <c r="AT6" i="3"/>
  <c r="BR6" i="3" s="1"/>
  <c r="BD39" i="3"/>
  <c r="BR36" i="3"/>
  <c r="AY87" i="3"/>
  <c r="BC93" i="3"/>
  <c r="AU6" i="3"/>
  <c r="BC63" i="3"/>
  <c r="AU39" i="3"/>
  <c r="AU75" i="3"/>
  <c r="AW93" i="3"/>
  <c r="BA93" i="3"/>
  <c r="AX54" i="3"/>
  <c r="AY54" i="3"/>
  <c r="DG6" i="3"/>
  <c r="BD93" i="3"/>
  <c r="BU6" i="3" l="1"/>
  <c r="AU116" i="3"/>
  <c r="BR87" i="3"/>
  <c r="BW6" i="3"/>
  <c r="CE6" i="3"/>
  <c r="CA54" i="3"/>
  <c r="CB54" i="3"/>
  <c r="BU54" i="3"/>
  <c r="CT6" i="3" s="1"/>
  <c r="BW54" i="3"/>
  <c r="CB6" i="3"/>
  <c r="CA6" i="3"/>
  <c r="BY6" i="3"/>
  <c r="CC6" i="3"/>
  <c r="BR27" i="3"/>
  <c r="BS27" i="3" s="1"/>
  <c r="BZ6" i="3"/>
  <c r="BR21" i="3"/>
  <c r="BS21" i="3" s="1"/>
  <c r="BS48" i="3"/>
  <c r="CC54" i="3"/>
  <c r="CD54" i="3"/>
  <c r="CD6" i="3"/>
  <c r="BT54" i="3"/>
  <c r="BZ54" i="3"/>
  <c r="BT6" i="3"/>
  <c r="BR63" i="3"/>
  <c r="BS63" i="3" s="1"/>
  <c r="BV6" i="3"/>
  <c r="BY54" i="3"/>
  <c r="CE54" i="3"/>
  <c r="BR93" i="3"/>
  <c r="BS93" i="3" s="1"/>
  <c r="BR39" i="3"/>
  <c r="BS36" i="3" s="1"/>
  <c r="BS6" i="3"/>
  <c r="BX54" i="3"/>
  <c r="BX6" i="3"/>
  <c r="BV54" i="3"/>
  <c r="BR54" i="3"/>
  <c r="BS54" i="3" s="1"/>
  <c r="BR75" i="3"/>
  <c r="DA6" i="3" l="1"/>
  <c r="CS6" i="3"/>
  <c r="BS75" i="3"/>
  <c r="DD6" i="3"/>
  <c r="CV6" i="3"/>
  <c r="CZ6" i="3"/>
  <c r="DC6" i="3"/>
  <c r="CX6" i="3"/>
  <c r="DB6" i="3"/>
  <c r="CY6" i="3"/>
  <c r="CU6" i="3"/>
  <c r="CR6" i="3"/>
  <c r="CR54" i="3"/>
  <c r="CW6" i="3"/>
  <c r="DQ6" i="3" l="1"/>
  <c r="DT6" i="3" s="1"/>
  <c r="DS6" i="3" l="1"/>
  <c r="T8" i="1"/>
  <c r="U8" i="1"/>
  <c r="V8" i="1"/>
  <c r="W8" i="1"/>
  <c r="X8" i="1"/>
  <c r="Y8" i="1"/>
  <c r="Z8" i="1"/>
  <c r="AA8" i="1"/>
  <c r="AB8" i="1"/>
  <c r="AC8" i="1"/>
  <c r="AD8" i="1"/>
  <c r="AE8" i="1"/>
  <c r="T9" i="1"/>
  <c r="U9" i="1"/>
  <c r="V9" i="1"/>
  <c r="W9" i="1"/>
  <c r="X9" i="1"/>
  <c r="Y9" i="1"/>
  <c r="Z9" i="1"/>
  <c r="AA9" i="1"/>
  <c r="AB9" i="1"/>
  <c r="AC9" i="1"/>
  <c r="AD9" i="1"/>
  <c r="AE9" i="1"/>
  <c r="T10" i="1"/>
  <c r="U10" i="1"/>
  <c r="V10" i="1"/>
  <c r="Y10" i="1"/>
  <c r="Z10" i="1"/>
  <c r="AA10" i="1"/>
  <c r="AB10" i="1"/>
  <c r="AC10" i="1"/>
  <c r="AD10" i="1"/>
  <c r="AE10" i="1"/>
  <c r="T11" i="1"/>
  <c r="U11" i="1"/>
  <c r="V11" i="1"/>
  <c r="Y11" i="1"/>
  <c r="Z11" i="1"/>
  <c r="AA11" i="1"/>
  <c r="AB11" i="1"/>
  <c r="AC11" i="1"/>
  <c r="AD11" i="1"/>
  <c r="AE11" i="1"/>
  <c r="T12" i="1"/>
  <c r="U12" i="1"/>
  <c r="V12" i="1"/>
  <c r="Y12" i="1"/>
  <c r="Z12" i="1"/>
  <c r="AA12" i="1"/>
  <c r="AB12" i="1"/>
  <c r="AC12" i="1"/>
  <c r="AD12" i="1"/>
  <c r="AE12" i="1"/>
  <c r="T13" i="1"/>
  <c r="U13" i="1"/>
  <c r="V13" i="1"/>
  <c r="Y13" i="1"/>
  <c r="Z13" i="1"/>
  <c r="AA13" i="1"/>
  <c r="AB13" i="1"/>
  <c r="AC13" i="1"/>
  <c r="AD13" i="1"/>
  <c r="AE13" i="1"/>
  <c r="T14" i="1"/>
  <c r="U14" i="1"/>
  <c r="V14" i="1"/>
  <c r="Y14" i="1"/>
  <c r="Z14" i="1"/>
  <c r="AA14" i="1"/>
  <c r="AB14" i="1"/>
  <c r="AC14" i="1"/>
  <c r="AD14" i="1"/>
  <c r="AE14" i="1"/>
  <c r="T15" i="1"/>
  <c r="U15" i="1"/>
  <c r="V15" i="1"/>
  <c r="Y15" i="1"/>
  <c r="Z15" i="1"/>
  <c r="AA15" i="1"/>
  <c r="AB15" i="1"/>
  <c r="AC15" i="1"/>
  <c r="AD15" i="1"/>
  <c r="AE15" i="1"/>
  <c r="T16" i="1"/>
  <c r="U16" i="1"/>
  <c r="V16" i="1"/>
  <c r="Y16" i="1"/>
  <c r="AA16" i="1"/>
  <c r="AB16" i="1"/>
  <c r="AC16" i="1"/>
  <c r="AD16" i="1"/>
  <c r="AE16" i="1"/>
  <c r="T17" i="1"/>
  <c r="U17" i="1"/>
  <c r="Y17" i="1"/>
  <c r="AB17" i="1"/>
  <c r="AC17" i="1"/>
  <c r="AD17" i="1"/>
  <c r="AE17" i="1"/>
  <c r="T18" i="1"/>
  <c r="U18" i="1"/>
  <c r="Y18" i="1"/>
  <c r="AB18" i="1"/>
  <c r="AC18" i="1"/>
  <c r="AD18" i="1"/>
  <c r="AE18" i="1"/>
  <c r="T19" i="1"/>
  <c r="U19" i="1"/>
  <c r="Y19" i="1"/>
  <c r="AB19" i="1"/>
  <c r="AC19" i="1"/>
  <c r="AD19" i="1"/>
  <c r="AE19" i="1"/>
  <c r="T20" i="1"/>
  <c r="U20" i="1"/>
  <c r="Y20" i="1"/>
  <c r="AB20" i="1"/>
  <c r="AC20" i="1"/>
  <c r="AD20" i="1"/>
  <c r="AE20" i="1"/>
  <c r="U21" i="1"/>
  <c r="Y21" i="1"/>
  <c r="AO21" i="1"/>
  <c r="AB21" i="1"/>
  <c r="AP21" i="1" s="1"/>
  <c r="AC21" i="1"/>
  <c r="AD21" i="1"/>
  <c r="AE21" i="1"/>
  <c r="T22" i="1"/>
  <c r="U22" i="1"/>
  <c r="Y22" i="1"/>
  <c r="AB22" i="1"/>
  <c r="AC22" i="1"/>
  <c r="AD22" i="1"/>
  <c r="AE22" i="1"/>
  <c r="T23" i="1"/>
  <c r="U23" i="1"/>
  <c r="Y23" i="1"/>
  <c r="AB23" i="1"/>
  <c r="AC23" i="1"/>
  <c r="AD23" i="1"/>
  <c r="AE23" i="1"/>
  <c r="T24" i="1"/>
  <c r="U24" i="1"/>
  <c r="Y24" i="1"/>
  <c r="AB24" i="1"/>
  <c r="AC24" i="1"/>
  <c r="AD24" i="1"/>
  <c r="AE24" i="1"/>
  <c r="T25" i="1"/>
  <c r="U25" i="1"/>
  <c r="Y25" i="1"/>
  <c r="AO25" i="1"/>
  <c r="AB25" i="1"/>
  <c r="AC25" i="1"/>
  <c r="AD25" i="1"/>
  <c r="AE25" i="1"/>
  <c r="T26" i="1"/>
  <c r="Y26" i="1"/>
  <c r="AB26" i="1"/>
  <c r="AC26" i="1"/>
  <c r="AD26" i="1"/>
  <c r="AE26" i="1"/>
  <c r="T27" i="1"/>
  <c r="Y27" i="1"/>
  <c r="AB27" i="1"/>
  <c r="AC27" i="1"/>
  <c r="AD27" i="1"/>
  <c r="AE27" i="1"/>
  <c r="T28" i="1"/>
  <c r="Y28" i="1"/>
  <c r="AB28" i="1"/>
  <c r="AC28" i="1"/>
  <c r="AD28" i="1"/>
  <c r="AE28" i="1"/>
  <c r="T29" i="1"/>
  <c r="Y29" i="1"/>
  <c r="AB29" i="1"/>
  <c r="AC29" i="1"/>
  <c r="AD29" i="1"/>
  <c r="AE29" i="1"/>
  <c r="T30" i="1"/>
  <c r="Y30" i="1"/>
  <c r="AB30" i="1"/>
  <c r="AC30" i="1"/>
  <c r="AD30" i="1"/>
  <c r="AE30" i="1"/>
  <c r="T31" i="1"/>
  <c r="Y31" i="1"/>
  <c r="AB31" i="1"/>
  <c r="AC31" i="1"/>
  <c r="AD31" i="1"/>
  <c r="AE31" i="1"/>
  <c r="T32" i="1"/>
  <c r="Y32" i="1"/>
  <c r="AB32" i="1"/>
  <c r="AC32" i="1"/>
  <c r="AD32" i="1"/>
  <c r="AE32" i="1"/>
  <c r="T33" i="1"/>
  <c r="Y33" i="1"/>
  <c r="AB33" i="1"/>
  <c r="AC33" i="1"/>
  <c r="AD33" i="1"/>
  <c r="AE33" i="1"/>
  <c r="T34" i="1"/>
  <c r="Y34" i="1"/>
  <c r="AB34" i="1"/>
  <c r="AC34" i="1"/>
  <c r="AD34" i="1"/>
  <c r="AE34" i="1"/>
  <c r="T35" i="1"/>
  <c r="Y35" i="1"/>
  <c r="AB35" i="1"/>
  <c r="AC35" i="1"/>
  <c r="AD35" i="1"/>
  <c r="AE35" i="1"/>
  <c r="AH36" i="1"/>
  <c r="AI36" i="1"/>
  <c r="AJ36" i="1"/>
  <c r="AK36" i="1"/>
  <c r="AL36" i="1"/>
  <c r="Y36" i="1"/>
  <c r="AM36" i="1" s="1"/>
  <c r="AN36" i="1"/>
  <c r="AO36" i="1"/>
  <c r="AB36" i="1"/>
  <c r="AP36" i="1" s="1"/>
  <c r="AC36" i="1"/>
  <c r="AQ36" i="1" s="1"/>
  <c r="AD36" i="1"/>
  <c r="AR36" i="1" s="1"/>
  <c r="AE36" i="1"/>
  <c r="AS36" i="1" s="1"/>
  <c r="AH37" i="1"/>
  <c r="AI37" i="1"/>
  <c r="AJ37" i="1"/>
  <c r="AK37" i="1"/>
  <c r="AL37" i="1"/>
  <c r="Y37" i="1"/>
  <c r="AM37" i="1" s="1"/>
  <c r="AN37" i="1"/>
  <c r="AO37" i="1"/>
  <c r="AB37" i="1"/>
  <c r="AP37" i="1" s="1"/>
  <c r="AC37" i="1"/>
  <c r="AQ37" i="1" s="1"/>
  <c r="AD37" i="1"/>
  <c r="AR37" i="1" s="1"/>
  <c r="AE37" i="1"/>
  <c r="AS37" i="1" s="1"/>
  <c r="AH38" i="1"/>
  <c r="AI38" i="1"/>
  <c r="AJ38" i="1"/>
  <c r="AK38" i="1"/>
  <c r="AL38" i="1"/>
  <c r="Y38" i="1"/>
  <c r="AM38" i="1" s="1"/>
  <c r="AN38" i="1"/>
  <c r="AO38" i="1"/>
  <c r="AB38" i="1"/>
  <c r="AP38" i="1" s="1"/>
  <c r="AC38" i="1"/>
  <c r="AQ38" i="1" s="1"/>
  <c r="AD38" i="1"/>
  <c r="AR38" i="1" s="1"/>
  <c r="AE38" i="1"/>
  <c r="AS38" i="1" s="1"/>
  <c r="T39" i="1"/>
  <c r="Y39" i="1"/>
  <c r="AB39" i="1"/>
  <c r="AC39" i="1"/>
  <c r="AD39" i="1"/>
  <c r="AE39" i="1"/>
  <c r="T40" i="1"/>
  <c r="Y40" i="1"/>
  <c r="AB40" i="1"/>
  <c r="AC40" i="1"/>
  <c r="AD40" i="1"/>
  <c r="AE40" i="1"/>
  <c r="T41" i="1"/>
  <c r="Y41" i="1"/>
  <c r="AB41" i="1"/>
  <c r="AC41" i="1"/>
  <c r="AD41" i="1"/>
  <c r="AE41" i="1"/>
  <c r="T42" i="1"/>
  <c r="Y42" i="1"/>
  <c r="AB42" i="1"/>
  <c r="AC42" i="1"/>
  <c r="AD42" i="1"/>
  <c r="AE42" i="1"/>
  <c r="T43" i="1"/>
  <c r="Y43" i="1"/>
  <c r="AB43" i="1"/>
  <c r="AC43" i="1"/>
  <c r="AD43" i="1"/>
  <c r="AE43" i="1"/>
  <c r="T44" i="1"/>
  <c r="Y44" i="1"/>
  <c r="AB44" i="1"/>
  <c r="AC44" i="1"/>
  <c r="AD44" i="1"/>
  <c r="AE44" i="1"/>
  <c r="T45" i="1"/>
  <c r="Y45" i="1"/>
  <c r="AB45" i="1"/>
  <c r="AC45" i="1"/>
  <c r="AD45" i="1"/>
  <c r="AE45" i="1"/>
  <c r="T46" i="1"/>
  <c r="Y46" i="1"/>
  <c r="AB46" i="1"/>
  <c r="AC46" i="1"/>
  <c r="AD46" i="1"/>
  <c r="AE46" i="1"/>
  <c r="T47" i="1"/>
  <c r="Y47" i="1"/>
  <c r="AB47" i="1"/>
  <c r="AC47" i="1"/>
  <c r="AD47" i="1"/>
  <c r="AE47" i="1"/>
  <c r="T48" i="1"/>
  <c r="AH48" i="1" s="1"/>
  <c r="AI48" i="1"/>
  <c r="AJ48" i="1"/>
  <c r="AK48" i="1"/>
  <c r="AL48" i="1"/>
  <c r="Y48" i="1"/>
  <c r="AM48" i="1" s="1"/>
  <c r="AN48" i="1"/>
  <c r="AO48" i="1"/>
  <c r="AB48" i="1"/>
  <c r="AP48" i="1" s="1"/>
  <c r="AC48" i="1"/>
  <c r="AQ48" i="1" s="1"/>
  <c r="AD48" i="1"/>
  <c r="AR48" i="1" s="1"/>
  <c r="AE48" i="1"/>
  <c r="AS48" i="1" s="1"/>
  <c r="T49" i="1"/>
  <c r="AH49" i="1" s="1"/>
  <c r="AI49" i="1"/>
  <c r="AJ49" i="1"/>
  <c r="AK49" i="1"/>
  <c r="AL49" i="1"/>
  <c r="Y49" i="1"/>
  <c r="AM49" i="1" s="1"/>
  <c r="AN49" i="1"/>
  <c r="AO49" i="1"/>
  <c r="AB49" i="1"/>
  <c r="AP49" i="1" s="1"/>
  <c r="AC49" i="1"/>
  <c r="AQ49" i="1" s="1"/>
  <c r="AD49" i="1"/>
  <c r="AR49" i="1" s="1"/>
  <c r="AE49" i="1"/>
  <c r="AS49" i="1" s="1"/>
  <c r="T50" i="1"/>
  <c r="AH50" i="1" s="1"/>
  <c r="AI50" i="1"/>
  <c r="AJ50" i="1"/>
  <c r="AK50" i="1"/>
  <c r="AL50" i="1"/>
  <c r="Y50" i="1"/>
  <c r="AM50" i="1" s="1"/>
  <c r="AN50" i="1"/>
  <c r="AO50" i="1"/>
  <c r="AB50" i="1"/>
  <c r="AP50" i="1" s="1"/>
  <c r="AC50" i="1"/>
  <c r="AQ50" i="1" s="1"/>
  <c r="AD50" i="1"/>
  <c r="AR50" i="1" s="1"/>
  <c r="AE50" i="1"/>
  <c r="AS50" i="1" s="1"/>
  <c r="T51" i="1"/>
  <c r="AH51" i="1" s="1"/>
  <c r="AI51" i="1"/>
  <c r="AJ51" i="1"/>
  <c r="AK51" i="1"/>
  <c r="AL51" i="1"/>
  <c r="Y51" i="1"/>
  <c r="AM51" i="1" s="1"/>
  <c r="AN51" i="1"/>
  <c r="AO51" i="1"/>
  <c r="AB51" i="1"/>
  <c r="AP51" i="1" s="1"/>
  <c r="AC51" i="1"/>
  <c r="AQ51" i="1" s="1"/>
  <c r="AD51" i="1"/>
  <c r="AR51" i="1" s="1"/>
  <c r="AE51" i="1"/>
  <c r="AS51" i="1" s="1"/>
  <c r="T52" i="1"/>
  <c r="AH52" i="1" s="1"/>
  <c r="AI52" i="1"/>
  <c r="AJ52" i="1"/>
  <c r="AK52" i="1"/>
  <c r="AL52" i="1"/>
  <c r="Y52" i="1"/>
  <c r="AM52" i="1" s="1"/>
  <c r="AN52" i="1"/>
  <c r="AO52" i="1"/>
  <c r="AB52" i="1"/>
  <c r="AP52" i="1" s="1"/>
  <c r="AC52" i="1"/>
  <c r="AQ52" i="1" s="1"/>
  <c r="AD52" i="1"/>
  <c r="AR52" i="1" s="1"/>
  <c r="AE52" i="1"/>
  <c r="AS52" i="1" s="1"/>
  <c r="T53" i="1"/>
  <c r="AH53" i="1" s="1"/>
  <c r="AI53" i="1"/>
  <c r="AJ53" i="1"/>
  <c r="AK53" i="1"/>
  <c r="AL53" i="1"/>
  <c r="Y53" i="1"/>
  <c r="AM53" i="1" s="1"/>
  <c r="AN53" i="1"/>
  <c r="AO53" i="1"/>
  <c r="AB53" i="1"/>
  <c r="AP53" i="1" s="1"/>
  <c r="AC53" i="1"/>
  <c r="AQ53" i="1" s="1"/>
  <c r="AD53" i="1"/>
  <c r="AR53" i="1" s="1"/>
  <c r="AE53" i="1"/>
  <c r="AS53" i="1" s="1"/>
  <c r="T54" i="1"/>
  <c r="Y54" i="1"/>
  <c r="AB54" i="1"/>
  <c r="AC54" i="1"/>
  <c r="AD54" i="1"/>
  <c r="AE54" i="1"/>
  <c r="T55" i="1"/>
  <c r="Y55" i="1"/>
  <c r="AB55" i="1"/>
  <c r="AC55" i="1"/>
  <c r="AD55" i="1"/>
  <c r="AE55" i="1"/>
  <c r="T56" i="1"/>
  <c r="Y56" i="1"/>
  <c r="AB56" i="1"/>
  <c r="AC56" i="1"/>
  <c r="AD56" i="1"/>
  <c r="AE56" i="1"/>
  <c r="T57" i="1"/>
  <c r="AB57" i="1"/>
  <c r="AC57" i="1"/>
  <c r="AD57" i="1"/>
  <c r="AE57" i="1"/>
  <c r="T58" i="1"/>
  <c r="AB58" i="1"/>
  <c r="AC58" i="1"/>
  <c r="AD58" i="1"/>
  <c r="AE58" i="1"/>
  <c r="T59" i="1"/>
  <c r="AB59" i="1"/>
  <c r="AC59" i="1"/>
  <c r="AD59" i="1"/>
  <c r="AE59" i="1"/>
  <c r="T60" i="1"/>
  <c r="AB60" i="1"/>
  <c r="AC60" i="1"/>
  <c r="AD60" i="1"/>
  <c r="AE60" i="1"/>
  <c r="T61" i="1"/>
  <c r="AB61" i="1"/>
  <c r="AC61" i="1"/>
  <c r="AD61" i="1"/>
  <c r="AE61" i="1"/>
  <c r="T62" i="1"/>
  <c r="AB62" i="1"/>
  <c r="AC62" i="1"/>
  <c r="AD62" i="1"/>
  <c r="AE62" i="1"/>
  <c r="T63" i="1"/>
  <c r="AB63" i="1"/>
  <c r="AC63" i="1"/>
  <c r="AD63" i="1"/>
  <c r="AE63" i="1"/>
  <c r="T64" i="1"/>
  <c r="AB64" i="1"/>
  <c r="AC64" i="1"/>
  <c r="AD64" i="1"/>
  <c r="AE64" i="1"/>
  <c r="T65" i="1"/>
  <c r="AB65" i="1"/>
  <c r="AC65" i="1"/>
  <c r="AD65" i="1"/>
  <c r="AE65" i="1"/>
  <c r="T66" i="1"/>
  <c r="AB66" i="1"/>
  <c r="AC66" i="1"/>
  <c r="AD66" i="1"/>
  <c r="AE66" i="1"/>
  <c r="T67" i="1"/>
  <c r="AB67" i="1"/>
  <c r="AC67" i="1"/>
  <c r="AD67" i="1"/>
  <c r="AE67" i="1"/>
  <c r="T68" i="1"/>
  <c r="AB68" i="1"/>
  <c r="AC68" i="1"/>
  <c r="AD68" i="1"/>
  <c r="AE68" i="1"/>
  <c r="T69" i="1"/>
  <c r="AB69" i="1"/>
  <c r="AC69" i="1"/>
  <c r="AD69" i="1"/>
  <c r="AE69" i="1"/>
  <c r="T70" i="1"/>
  <c r="AB70" i="1"/>
  <c r="AC70" i="1"/>
  <c r="AD70" i="1"/>
  <c r="AE70" i="1"/>
  <c r="T71" i="1"/>
  <c r="AB71" i="1"/>
  <c r="AC71" i="1"/>
  <c r="AD71" i="1"/>
  <c r="AE71" i="1"/>
  <c r="T72" i="1"/>
  <c r="AB72" i="1"/>
  <c r="AC72" i="1"/>
  <c r="AD72" i="1"/>
  <c r="AE72" i="1"/>
  <c r="T73" i="1"/>
  <c r="AB73" i="1"/>
  <c r="AC73" i="1"/>
  <c r="AD73" i="1"/>
  <c r="AE73" i="1"/>
  <c r="T74" i="1"/>
  <c r="AB74" i="1"/>
  <c r="AC74" i="1"/>
  <c r="AD74" i="1"/>
  <c r="AE74" i="1"/>
  <c r="T75" i="1"/>
  <c r="AB75" i="1"/>
  <c r="AC75" i="1"/>
  <c r="AD75" i="1"/>
  <c r="AE75" i="1"/>
  <c r="T76" i="1"/>
  <c r="AB76" i="1"/>
  <c r="AC76" i="1"/>
  <c r="AD76" i="1"/>
  <c r="AE76" i="1"/>
  <c r="T77" i="1"/>
  <c r="AB77" i="1"/>
  <c r="AC77" i="1"/>
  <c r="AD77" i="1"/>
  <c r="AE77" i="1"/>
  <c r="T78" i="1"/>
  <c r="AB78" i="1"/>
  <c r="AC78" i="1"/>
  <c r="AD78" i="1"/>
  <c r="AE78" i="1"/>
  <c r="T79" i="1"/>
  <c r="AB79" i="1"/>
  <c r="AC79" i="1"/>
  <c r="AD79" i="1"/>
  <c r="AE79" i="1"/>
  <c r="T80" i="1"/>
  <c r="AB80" i="1"/>
  <c r="AC80" i="1"/>
  <c r="AD80" i="1"/>
  <c r="AE80" i="1"/>
  <c r="T81" i="1"/>
  <c r="AB81" i="1"/>
  <c r="AC81" i="1"/>
  <c r="AD81" i="1"/>
  <c r="AE81" i="1"/>
  <c r="T82" i="1"/>
  <c r="AB82" i="1"/>
  <c r="AC82" i="1"/>
  <c r="AD82" i="1"/>
  <c r="AE82" i="1"/>
  <c r="T83" i="1"/>
  <c r="AB83" i="1"/>
  <c r="AC83" i="1"/>
  <c r="AD83" i="1"/>
  <c r="AE83" i="1"/>
  <c r="T84" i="1"/>
  <c r="AB84" i="1"/>
  <c r="AC84" i="1"/>
  <c r="AD84" i="1"/>
  <c r="AE84" i="1"/>
  <c r="T85" i="1"/>
  <c r="AB85" i="1"/>
  <c r="AC85" i="1"/>
  <c r="AD85" i="1"/>
  <c r="AE85" i="1"/>
  <c r="T86" i="1"/>
  <c r="AB86" i="1"/>
  <c r="AC86" i="1"/>
  <c r="AD86" i="1"/>
  <c r="AE86" i="1"/>
  <c r="T87" i="1"/>
  <c r="AI87" i="1"/>
  <c r="AB87" i="1"/>
  <c r="AC87" i="1"/>
  <c r="AD87" i="1"/>
  <c r="AE87" i="1"/>
  <c r="T88" i="1"/>
  <c r="AB88" i="1"/>
  <c r="AC88" i="1"/>
  <c r="AD88" i="1"/>
  <c r="AE88" i="1"/>
  <c r="T89" i="1"/>
  <c r="AB89" i="1"/>
  <c r="AC89" i="1"/>
  <c r="AD89" i="1"/>
  <c r="AE89" i="1"/>
  <c r="T90" i="1"/>
  <c r="AB90" i="1"/>
  <c r="AC90" i="1"/>
  <c r="AD90" i="1"/>
  <c r="AE90" i="1"/>
  <c r="T91" i="1"/>
  <c r="AI91" i="1"/>
  <c r="AJ91" i="1"/>
  <c r="AB91" i="1"/>
  <c r="AC91" i="1"/>
  <c r="AD91" i="1"/>
  <c r="AE91" i="1"/>
  <c r="T92" i="1"/>
  <c r="AB92" i="1"/>
  <c r="AC92" i="1"/>
  <c r="AD92" i="1"/>
  <c r="AE92" i="1"/>
  <c r="T93" i="1"/>
  <c r="AB93" i="1"/>
  <c r="AC93" i="1"/>
  <c r="AD93" i="1"/>
  <c r="AE93" i="1"/>
  <c r="T94" i="1"/>
  <c r="AB94" i="1"/>
  <c r="AC94" i="1"/>
  <c r="AD94" i="1"/>
  <c r="AE94" i="1"/>
  <c r="T95" i="1"/>
  <c r="AB95" i="1"/>
  <c r="AC95" i="1"/>
  <c r="AD95" i="1"/>
  <c r="AE95" i="1"/>
  <c r="AB96" i="1"/>
  <c r="AC96" i="1"/>
  <c r="AD96" i="1"/>
  <c r="AE96" i="1"/>
  <c r="AB97" i="1"/>
  <c r="AC97" i="1"/>
  <c r="AD97" i="1"/>
  <c r="AE97" i="1"/>
  <c r="AB98" i="1"/>
  <c r="AC98" i="1"/>
  <c r="AD98" i="1"/>
  <c r="AE98" i="1"/>
  <c r="AB99" i="1"/>
  <c r="AC99" i="1"/>
  <c r="AD99" i="1"/>
  <c r="AE99" i="1"/>
  <c r="AB100" i="1"/>
  <c r="AC100" i="1"/>
  <c r="AD100" i="1"/>
  <c r="AE100" i="1"/>
  <c r="AB101" i="1"/>
  <c r="AC101" i="1"/>
  <c r="AD101" i="1"/>
  <c r="AE101" i="1"/>
  <c r="AB102" i="1"/>
  <c r="AC102" i="1"/>
  <c r="AD102" i="1"/>
  <c r="AE102" i="1"/>
  <c r="AB103" i="1"/>
  <c r="AC103" i="1"/>
  <c r="AD103" i="1"/>
  <c r="AE103" i="1"/>
  <c r="AB104" i="1"/>
  <c r="AC104" i="1"/>
  <c r="AD104" i="1"/>
  <c r="AE104" i="1"/>
  <c r="AB105" i="1"/>
  <c r="AC105" i="1"/>
  <c r="AD105" i="1"/>
  <c r="AE105" i="1"/>
  <c r="AB106" i="1"/>
  <c r="AC106" i="1"/>
  <c r="AD106" i="1"/>
  <c r="AE106" i="1"/>
  <c r="AB107" i="1"/>
  <c r="AC107" i="1"/>
  <c r="AD107" i="1"/>
  <c r="AE107" i="1"/>
  <c r="AB108" i="1"/>
  <c r="AC108" i="1"/>
  <c r="AD108" i="1"/>
  <c r="AE108" i="1"/>
  <c r="AB109" i="1"/>
  <c r="AC109" i="1"/>
  <c r="AD109" i="1"/>
  <c r="AE109" i="1"/>
  <c r="AB110" i="1"/>
  <c r="AC110" i="1"/>
  <c r="AD110" i="1"/>
  <c r="AE110" i="1"/>
  <c r="AB111" i="1"/>
  <c r="AC111" i="1"/>
  <c r="AD111" i="1"/>
  <c r="AE111" i="1"/>
  <c r="T112" i="1"/>
  <c r="W112" i="1"/>
  <c r="AB112" i="1"/>
  <c r="AC112" i="1"/>
  <c r="AD112" i="1"/>
  <c r="AE112" i="1"/>
  <c r="T113" i="1"/>
  <c r="W113" i="1"/>
  <c r="Y113" i="1"/>
  <c r="Z113" i="1"/>
  <c r="AB113" i="1"/>
  <c r="AC113" i="1"/>
  <c r="AD113" i="1"/>
  <c r="AE113" i="1"/>
  <c r="U7" i="1"/>
  <c r="V7" i="1"/>
  <c r="W7" i="1"/>
  <c r="X7" i="1"/>
  <c r="Y7" i="1"/>
  <c r="Z7" i="1"/>
  <c r="AA7" i="1"/>
  <c r="AB7" i="1"/>
  <c r="AC7" i="1"/>
  <c r="AD7" i="1"/>
  <c r="AE7" i="1"/>
  <c r="T7" i="1"/>
  <c r="U6" i="1"/>
  <c r="V6" i="1"/>
  <c r="W6" i="1"/>
  <c r="X6" i="1"/>
  <c r="Y6" i="1"/>
  <c r="Z6" i="1"/>
  <c r="AA6" i="1"/>
  <c r="AB6" i="1"/>
  <c r="AC6" i="1"/>
  <c r="AD6" i="1"/>
  <c r="AE6" i="1"/>
  <c r="T6" i="1"/>
  <c r="BS27" i="1"/>
  <c r="BT27" i="1"/>
  <c r="BU27" i="1"/>
  <c r="BV27" i="1"/>
  <c r="BW27" i="1"/>
  <c r="BX27" i="1"/>
  <c r="BY27" i="1"/>
  <c r="BZ27" i="1"/>
  <c r="CA27" i="1"/>
  <c r="CB27" i="1"/>
  <c r="CC27" i="1"/>
  <c r="BS51" i="1"/>
  <c r="BT51" i="1"/>
  <c r="BU51" i="1"/>
  <c r="BV51" i="1"/>
  <c r="BW51" i="1"/>
  <c r="BX51" i="1"/>
  <c r="BY51" i="1"/>
  <c r="BZ51" i="1"/>
  <c r="CA51" i="1"/>
  <c r="CB51" i="1"/>
  <c r="CC51" i="1"/>
  <c r="BS36" i="1"/>
  <c r="BT36" i="1"/>
  <c r="BU36" i="1"/>
  <c r="BV36" i="1"/>
  <c r="BW36" i="1"/>
  <c r="BX36" i="1"/>
  <c r="BY36" i="1"/>
  <c r="BZ36" i="1"/>
  <c r="CA36" i="1"/>
  <c r="CB36" i="1"/>
  <c r="CC36" i="1"/>
  <c r="BS39" i="1"/>
  <c r="BT39" i="1"/>
  <c r="BU39" i="1"/>
  <c r="BV39" i="1"/>
  <c r="BW39" i="1"/>
  <c r="BX39" i="1"/>
  <c r="BY39" i="1"/>
  <c r="BZ39" i="1"/>
  <c r="CA39" i="1"/>
  <c r="CB39" i="1"/>
  <c r="CC39" i="1"/>
  <c r="BS48" i="1"/>
  <c r="BT48" i="1"/>
  <c r="BU48" i="1"/>
  <c r="BV48" i="1"/>
  <c r="BW48" i="1"/>
  <c r="BX48" i="1"/>
  <c r="BY48" i="1"/>
  <c r="BZ48" i="1"/>
  <c r="CA48" i="1"/>
  <c r="CB48" i="1"/>
  <c r="CC48" i="1"/>
  <c r="BS54" i="1"/>
  <c r="BT54" i="1"/>
  <c r="BU54" i="1"/>
  <c r="BV54" i="1"/>
  <c r="BW54" i="1"/>
  <c r="BX54" i="1"/>
  <c r="BY54" i="1"/>
  <c r="BZ54" i="1"/>
  <c r="CA54" i="1"/>
  <c r="CB54" i="1"/>
  <c r="CC54" i="1"/>
  <c r="BS63" i="1"/>
  <c r="BT63" i="1"/>
  <c r="BU63" i="1"/>
  <c r="BV63" i="1"/>
  <c r="BW63" i="1"/>
  <c r="BX63" i="1"/>
  <c r="BY63" i="1"/>
  <c r="BZ63" i="1"/>
  <c r="CA63" i="1"/>
  <c r="CB63" i="1"/>
  <c r="CC63" i="1"/>
  <c r="BS75" i="1"/>
  <c r="BT75" i="1"/>
  <c r="BU75" i="1"/>
  <c r="BV75" i="1"/>
  <c r="BW75" i="1"/>
  <c r="BX75" i="1"/>
  <c r="BY75" i="1"/>
  <c r="BZ75" i="1"/>
  <c r="CA75" i="1"/>
  <c r="CB75" i="1"/>
  <c r="CC75" i="1"/>
  <c r="BS87" i="1"/>
  <c r="BT87" i="1"/>
  <c r="BU87" i="1"/>
  <c r="BV87" i="1"/>
  <c r="BW87" i="1"/>
  <c r="BX87" i="1"/>
  <c r="BY87" i="1"/>
  <c r="BZ87" i="1"/>
  <c r="CA87" i="1"/>
  <c r="CB87" i="1"/>
  <c r="CC87" i="1"/>
  <c r="BS93" i="1"/>
  <c r="BT93" i="1"/>
  <c r="BU93" i="1"/>
  <c r="BV93" i="1"/>
  <c r="BW93" i="1"/>
  <c r="BX93" i="1"/>
  <c r="BY93" i="1"/>
  <c r="BZ93" i="1"/>
  <c r="CA93" i="1"/>
  <c r="CB93" i="1"/>
  <c r="CC93" i="1"/>
  <c r="BR6" i="1"/>
  <c r="BR93" i="1"/>
  <c r="BR87" i="1"/>
  <c r="BR75" i="1"/>
  <c r="BR63" i="1"/>
  <c r="BR54" i="1"/>
  <c r="BR48" i="1"/>
  <c r="BR39" i="1"/>
  <c r="BR51" i="1"/>
  <c r="BR27" i="1"/>
  <c r="CC21" i="1"/>
  <c r="BT21" i="1"/>
  <c r="BU21" i="1"/>
  <c r="BV21" i="1"/>
  <c r="BW21" i="1"/>
  <c r="BX21" i="1"/>
  <c r="BY21" i="1"/>
  <c r="BZ21" i="1"/>
  <c r="CA21" i="1"/>
  <c r="CB21" i="1"/>
  <c r="AQ25" i="1" l="1"/>
  <c r="AP25" i="1"/>
  <c r="AR25" i="1"/>
  <c r="AQ21" i="1"/>
  <c r="BG36" i="1"/>
  <c r="BF36" i="1"/>
  <c r="AH6" i="1"/>
  <c r="CR6" i="1"/>
  <c r="AH23" i="1"/>
  <c r="BI48" i="1"/>
  <c r="AH87" i="1"/>
  <c r="BP36" i="1"/>
  <c r="BO36" i="1"/>
  <c r="AR89" i="1"/>
  <c r="BN36" i="1"/>
  <c r="AQ89" i="1"/>
  <c r="BM36" i="1"/>
  <c r="AP89" i="1"/>
  <c r="BL36" i="1"/>
  <c r="AH91" i="1"/>
  <c r="AJ87" i="1"/>
  <c r="AK91" i="1"/>
  <c r="AS89" i="1"/>
  <c r="AK87" i="1"/>
  <c r="AR57" i="1"/>
  <c r="BH51" i="1"/>
  <c r="AR45" i="1"/>
  <c r="AJ39" i="1"/>
  <c r="AR33" i="1"/>
  <c r="AJ27" i="1"/>
  <c r="AJ23" i="1"/>
  <c r="AR21" i="1"/>
  <c r="AN21" i="1"/>
  <c r="AN6" i="1"/>
  <c r="AM91" i="1"/>
  <c r="AM87" i="1"/>
  <c r="AM83" i="1"/>
  <c r="AM79" i="1"/>
  <c r="AM75" i="1"/>
  <c r="AM71" i="1"/>
  <c r="AM67" i="1"/>
  <c r="AM63" i="1"/>
  <c r="AQ60" i="1"/>
  <c r="BK51" i="1"/>
  <c r="AM39" i="1"/>
  <c r="AM27" i="1"/>
  <c r="AM23" i="1"/>
  <c r="AL91" i="1"/>
  <c r="AL87" i="1"/>
  <c r="AP60" i="1"/>
  <c r="AH54" i="1"/>
  <c r="BJ51" i="1"/>
  <c r="AH42" i="1"/>
  <c r="AL39" i="1"/>
  <c r="AH30" i="1"/>
  <c r="AL27" i="1"/>
  <c r="AL23" i="1"/>
  <c r="AO60" i="1"/>
  <c r="AS57" i="1"/>
  <c r="BI51" i="1"/>
  <c r="AS45" i="1"/>
  <c r="AK39" i="1"/>
  <c r="AS33" i="1"/>
  <c r="AK27" i="1"/>
  <c r="AS25" i="1"/>
  <c r="AK23" i="1"/>
  <c r="AS21" i="1"/>
  <c r="AI23" i="1"/>
  <c r="AI54" i="1"/>
  <c r="AI30" i="1"/>
  <c r="AI42" i="1"/>
  <c r="AN60" i="1"/>
  <c r="BL48" i="1"/>
  <c r="AN25" i="1"/>
  <c r="AL75" i="1"/>
  <c r="AQ79" i="1"/>
  <c r="AP6" i="1"/>
  <c r="AS100" i="1"/>
  <c r="AO91" i="1"/>
  <c r="AO87" i="1"/>
  <c r="AO83" i="1"/>
  <c r="AO79" i="1"/>
  <c r="AO75" i="1"/>
  <c r="AO71" i="1"/>
  <c r="AO67" i="1"/>
  <c r="AO63" i="1"/>
  <c r="AS60" i="1"/>
  <c r="AK54" i="1"/>
  <c r="BM51" i="1"/>
  <c r="AK42" i="1"/>
  <c r="AO39" i="1"/>
  <c r="AK30" i="1"/>
  <c r="AO27" i="1"/>
  <c r="AO23" i="1"/>
  <c r="BM21" i="1" s="1"/>
  <c r="AO6" i="1"/>
  <c r="AR100" i="1"/>
  <c r="AN91" i="1"/>
  <c r="AN87" i="1"/>
  <c r="AN83" i="1"/>
  <c r="AN79" i="1"/>
  <c r="AN75" i="1"/>
  <c r="AN71" i="1"/>
  <c r="AN67" i="1"/>
  <c r="AN63" i="1"/>
  <c r="AR60" i="1"/>
  <c r="AJ54" i="1"/>
  <c r="BL51" i="1"/>
  <c r="AJ42" i="1"/>
  <c r="AN39" i="1"/>
  <c r="AJ30" i="1"/>
  <c r="AN27" i="1"/>
  <c r="AN23" i="1"/>
  <c r="AM107" i="1"/>
  <c r="AM6" i="1"/>
  <c r="AL83" i="1"/>
  <c r="AL79" i="1"/>
  <c r="AL67" i="1"/>
  <c r="BJ36" i="1"/>
  <c r="AP33" i="1"/>
  <c r="AH27" i="1"/>
  <c r="AQ16" i="1"/>
  <c r="AL71" i="1"/>
  <c r="AL63" i="1"/>
  <c r="AR6" i="1"/>
  <c r="AQ107" i="1"/>
  <c r="AI93" i="1"/>
  <c r="AQ91" i="1"/>
  <c r="AI89" i="1"/>
  <c r="BG87" i="1" s="1"/>
  <c r="AQ87" i="1"/>
  <c r="AQ83" i="1"/>
  <c r="AQ75" i="1"/>
  <c r="AQ71" i="1"/>
  <c r="AQ67" i="1"/>
  <c r="AQ63" i="1"/>
  <c r="AI57" i="1"/>
  <c r="AM54" i="1"/>
  <c r="BO51" i="1"/>
  <c r="AI45" i="1"/>
  <c r="AM42" i="1"/>
  <c r="AQ39" i="1"/>
  <c r="AI33" i="1"/>
  <c r="AM30" i="1"/>
  <c r="AQ27" i="1"/>
  <c r="AI25" i="1"/>
  <c r="AQ23" i="1"/>
  <c r="BO21" i="1" s="1"/>
  <c r="AI21" i="1"/>
  <c r="AQ11" i="1"/>
  <c r="AQ6" i="1"/>
  <c r="AP107" i="1"/>
  <c r="AH93" i="1"/>
  <c r="AP91" i="1"/>
  <c r="AH89" i="1"/>
  <c r="AP87" i="1"/>
  <c r="AP83" i="1"/>
  <c r="AP79" i="1"/>
  <c r="AP75" i="1"/>
  <c r="AP71" i="1"/>
  <c r="AP67" i="1"/>
  <c r="AP63" i="1"/>
  <c r="AH57" i="1"/>
  <c r="AL54" i="1"/>
  <c r="BN51" i="1"/>
  <c r="AH45" i="1"/>
  <c r="AL42" i="1"/>
  <c r="AP39" i="1"/>
  <c r="AH33" i="1"/>
  <c r="AL30" i="1"/>
  <c r="AP27" i="1"/>
  <c r="AH25" i="1"/>
  <c r="AP23" i="1"/>
  <c r="BN21" i="1" s="1"/>
  <c r="AH21" i="1"/>
  <c r="AP11" i="1"/>
  <c r="AM11" i="1"/>
  <c r="AP16" i="1"/>
  <c r="AL11" i="1"/>
  <c r="AN11" i="1"/>
  <c r="AK83" i="1"/>
  <c r="BQ48" i="1"/>
  <c r="AO16" i="1"/>
  <c r="AK11" i="1"/>
  <c r="AS93" i="1"/>
  <c r="AK79" i="1"/>
  <c r="AK63" i="1"/>
  <c r="BQ36" i="1"/>
  <c r="AJ83" i="1"/>
  <c r="AJ79" i="1"/>
  <c r="AJ75" i="1"/>
  <c r="AJ71" i="1"/>
  <c r="AJ67" i="1"/>
  <c r="AJ63" i="1"/>
  <c r="BP48" i="1"/>
  <c r="AN16" i="1"/>
  <c r="AJ11" i="1"/>
  <c r="AN107" i="1"/>
  <c r="AP100" i="1"/>
  <c r="AK107" i="1"/>
  <c r="AI63" i="1"/>
  <c r="AQ45" i="1"/>
  <c r="AQ33" i="1"/>
  <c r="AI11" i="1"/>
  <c r="AI6" i="1"/>
  <c r="AP93" i="1"/>
  <c r="AH83" i="1"/>
  <c r="AH67" i="1"/>
  <c r="AP57" i="1"/>
  <c r="BN48" i="1"/>
  <c r="AK100" i="1"/>
  <c r="AO93" i="1"/>
  <c r="AO89" i="1"/>
  <c r="AK60" i="1"/>
  <c r="AO57" i="1"/>
  <c r="AS54" i="1"/>
  <c r="BM48" i="1"/>
  <c r="AO45" i="1"/>
  <c r="AS42" i="1"/>
  <c r="BI36" i="1"/>
  <c r="AO33" i="1"/>
  <c r="AS30" i="1"/>
  <c r="AK16" i="1"/>
  <c r="AS16" i="1"/>
  <c r="AR16" i="1"/>
  <c r="AL6" i="1"/>
  <c r="AI39" i="1"/>
  <c r="AH107" i="1"/>
  <c r="AH75" i="1"/>
  <c r="AH39" i="1"/>
  <c r="AJ100" i="1"/>
  <c r="AN93" i="1"/>
  <c r="AN89" i="1"/>
  <c r="AJ60" i="1"/>
  <c r="AN57" i="1"/>
  <c r="AR54" i="1"/>
  <c r="BP54" i="1" s="1"/>
  <c r="BH48" i="1"/>
  <c r="AN45" i="1"/>
  <c r="AR42" i="1"/>
  <c r="BH36" i="1"/>
  <c r="AN33" i="1"/>
  <c r="AR30" i="1"/>
  <c r="AJ16" i="1"/>
  <c r="AM100" i="1"/>
  <c r="AI83" i="1"/>
  <c r="AI71" i="1"/>
  <c r="AQ57" i="1"/>
  <c r="BK48" i="1"/>
  <c r="AM16" i="1"/>
  <c r="AL100" i="1"/>
  <c r="AH79" i="1"/>
  <c r="AH71" i="1"/>
  <c r="AH63" i="1"/>
  <c r="AI100" i="1"/>
  <c r="AM93" i="1"/>
  <c r="AM89" i="1"/>
  <c r="AI60" i="1"/>
  <c r="AM57" i="1"/>
  <c r="AQ54" i="1"/>
  <c r="BG48" i="1"/>
  <c r="AM45" i="1"/>
  <c r="AQ42" i="1"/>
  <c r="AM33" i="1"/>
  <c r="AQ30" i="1"/>
  <c r="AM25" i="1"/>
  <c r="AM21" i="1"/>
  <c r="AI16" i="1"/>
  <c r="AK71" i="1"/>
  <c r="BK36" i="1"/>
  <c r="AH11" i="1"/>
  <c r="AH100" i="1"/>
  <c r="AL93" i="1"/>
  <c r="AL89" i="1"/>
  <c r="AH60" i="1"/>
  <c r="AL57" i="1"/>
  <c r="AP54" i="1"/>
  <c r="BF48" i="1"/>
  <c r="AL45" i="1"/>
  <c r="AP42" i="1"/>
  <c r="AL33" i="1"/>
  <c r="AP30" i="1"/>
  <c r="AL25" i="1"/>
  <c r="AL21" i="1"/>
  <c r="AH16" i="1"/>
  <c r="AO100" i="1"/>
  <c r="AK6" i="1"/>
  <c r="AI75" i="1"/>
  <c r="BG51" i="1"/>
  <c r="BJ48" i="1"/>
  <c r="AS107" i="1"/>
  <c r="AK93" i="1"/>
  <c r="AS91" i="1"/>
  <c r="AK89" i="1"/>
  <c r="AS87" i="1"/>
  <c r="AS83" i="1"/>
  <c r="AS79" i="1"/>
  <c r="AS75" i="1"/>
  <c r="AS71" i="1"/>
  <c r="AS67" i="1"/>
  <c r="AS63" i="1"/>
  <c r="AK57" i="1"/>
  <c r="AO54" i="1"/>
  <c r="BQ51" i="1"/>
  <c r="AK45" i="1"/>
  <c r="AO42" i="1"/>
  <c r="AS39" i="1"/>
  <c r="AK33" i="1"/>
  <c r="AO30" i="1"/>
  <c r="BM27" i="1" s="1"/>
  <c r="AS27" i="1"/>
  <c r="AK25" i="1"/>
  <c r="AS23" i="1"/>
  <c r="AK21" i="1"/>
  <c r="AS11" i="1"/>
  <c r="AO107" i="1"/>
  <c r="AO11" i="1"/>
  <c r="AQ100" i="1"/>
  <c r="AL107" i="1"/>
  <c r="AK75" i="1"/>
  <c r="AK67" i="1"/>
  <c r="AJ107" i="1"/>
  <c r="AN100" i="1"/>
  <c r="AR93" i="1"/>
  <c r="AJ6" i="1"/>
  <c r="AI107" i="1"/>
  <c r="AQ93" i="1"/>
  <c r="AI79" i="1"/>
  <c r="AI67" i="1"/>
  <c r="AM60" i="1"/>
  <c r="BO48" i="1"/>
  <c r="AI27" i="1"/>
  <c r="AL60" i="1"/>
  <c r="BF51" i="1"/>
  <c r="AP45" i="1"/>
  <c r="AL16" i="1"/>
  <c r="AS6" i="1"/>
  <c r="AR107" i="1"/>
  <c r="AJ93" i="1"/>
  <c r="AR91" i="1"/>
  <c r="AJ89" i="1"/>
  <c r="BH87" i="1" s="1"/>
  <c r="AR87" i="1"/>
  <c r="AR83" i="1"/>
  <c r="AR79" i="1"/>
  <c r="AR75" i="1"/>
  <c r="AR71" i="1"/>
  <c r="AR67" i="1"/>
  <c r="AR63" i="1"/>
  <c r="AJ57" i="1"/>
  <c r="AN54" i="1"/>
  <c r="BP51" i="1"/>
  <c r="AJ45" i="1"/>
  <c r="AN42" i="1"/>
  <c r="AR39" i="1"/>
  <c r="AJ33" i="1"/>
  <c r="AN30" i="1"/>
  <c r="AR27" i="1"/>
  <c r="AJ25" i="1"/>
  <c r="AR23" i="1"/>
  <c r="AJ21" i="1"/>
  <c r="AR11" i="1"/>
  <c r="CR54" i="1"/>
  <c r="DQ6" i="1" s="1"/>
  <c r="DA54" i="1"/>
  <c r="DB54" i="1"/>
  <c r="CT54" i="1"/>
  <c r="CZ54" i="1"/>
  <c r="CU54" i="1"/>
  <c r="CY54" i="1"/>
  <c r="CX54" i="1"/>
  <c r="CS54" i="1"/>
  <c r="CW54" i="1"/>
  <c r="DC54" i="1"/>
  <c r="CV54" i="1"/>
  <c r="CC6" i="1"/>
  <c r="DC6" i="1" s="1"/>
  <c r="CB6" i="1"/>
  <c r="DB6" i="1" s="1"/>
  <c r="CA6" i="1"/>
  <c r="DA6" i="1" s="1"/>
  <c r="BZ6" i="1"/>
  <c r="CZ6" i="1" s="1"/>
  <c r="BY6" i="1"/>
  <c r="CY6" i="1" s="1"/>
  <c r="BX6" i="1"/>
  <c r="CX6" i="1" s="1"/>
  <c r="BW6" i="1"/>
  <c r="CW6" i="1" s="1"/>
  <c r="CV6" i="1"/>
  <c r="BU6" i="1"/>
  <c r="CU6" i="1" s="1"/>
  <c r="BT6" i="1"/>
  <c r="CT6" i="1" s="1"/>
  <c r="BS6" i="1"/>
  <c r="CS6" i="1" s="1"/>
  <c r="BP21" i="1" l="1"/>
  <c r="BF54" i="1"/>
  <c r="BL87" i="1"/>
  <c r="BQ21" i="1"/>
  <c r="BF87" i="1"/>
  <c r="BM75" i="1"/>
  <c r="BL39" i="1"/>
  <c r="BL115" i="1" s="1"/>
  <c r="BI63" i="1"/>
  <c r="BL63" i="1"/>
  <c r="BK75" i="1"/>
  <c r="BK63" i="1"/>
  <c r="BK21" i="1"/>
  <c r="BJ21" i="1"/>
  <c r="BI87" i="1"/>
  <c r="BI54" i="1"/>
  <c r="BI6" i="1"/>
  <c r="BK87" i="1"/>
  <c r="BI27" i="1"/>
  <c r="BH39" i="1"/>
  <c r="BH115" i="1" s="1"/>
  <c r="BQ63" i="1"/>
  <c r="BK39" i="1"/>
  <c r="BK115" i="1" s="1"/>
  <c r="BI39" i="1"/>
  <c r="BI115" i="1" s="1"/>
  <c r="BI21" i="1"/>
  <c r="BH21" i="1"/>
  <c r="BJ87" i="1"/>
  <c r="BN75" i="1"/>
  <c r="DS6" i="1"/>
  <c r="BH6" i="1"/>
  <c r="BH54" i="1"/>
  <c r="BH27" i="1"/>
  <c r="BJ39" i="1"/>
  <c r="BJ115" i="1" s="1"/>
  <c r="BO75" i="1"/>
  <c r="BJ63" i="1"/>
  <c r="BJ75" i="1"/>
  <c r="DR6" i="1"/>
  <c r="BP75" i="1"/>
  <c r="BH63" i="1"/>
  <c r="BN27" i="1"/>
  <c r="EB6" i="1"/>
  <c r="BJ27" i="1"/>
  <c r="DT6" i="1"/>
  <c r="BM54" i="1"/>
  <c r="BQ87" i="1"/>
  <c r="BM87" i="1"/>
  <c r="BM63" i="1"/>
  <c r="BN39" i="1"/>
  <c r="BN93" i="1"/>
  <c r="BG39" i="1"/>
  <c r="BG115" i="1" s="1"/>
  <c r="BG54" i="1"/>
  <c r="BG6" i="1"/>
  <c r="BL75" i="1"/>
  <c r="BL27" i="1"/>
  <c r="BL21" i="1"/>
  <c r="BF27" i="1"/>
  <c r="BF93" i="1"/>
  <c r="BP39" i="1"/>
  <c r="BM39" i="1"/>
  <c r="BN63" i="1"/>
  <c r="BH93" i="1"/>
  <c r="BK27" i="1"/>
  <c r="BP93" i="1"/>
  <c r="BO54" i="1"/>
  <c r="BQ54" i="1"/>
  <c r="BL54" i="1"/>
  <c r="BF39" i="1"/>
  <c r="BF115" i="1" s="1"/>
  <c r="BG27" i="1"/>
  <c r="BO93" i="1"/>
  <c r="BF21" i="1"/>
  <c r="BN87" i="1"/>
  <c r="BN54" i="1"/>
  <c r="DZ6" i="1"/>
  <c r="EA6" i="1"/>
  <c r="BG75" i="1"/>
  <c r="BK54" i="1"/>
  <c r="BH75" i="1"/>
  <c r="BF6" i="1"/>
  <c r="BK93" i="1"/>
  <c r="BG21" i="1"/>
  <c r="BG63" i="1"/>
  <c r="BL93" i="1"/>
  <c r="BG93" i="1"/>
  <c r="BO87" i="1"/>
  <c r="CD36" i="1"/>
  <c r="BF75" i="1"/>
  <c r="BQ93" i="1"/>
  <c r="BP87" i="1"/>
  <c r="BO27" i="1"/>
  <c r="BF63" i="1"/>
  <c r="DX6" i="1"/>
  <c r="BI75" i="1"/>
  <c r="BJ93" i="1"/>
  <c r="BO39" i="1"/>
  <c r="BO63" i="1"/>
  <c r="BM93" i="1"/>
  <c r="BQ75" i="1"/>
  <c r="DU6" i="1"/>
  <c r="DY6" i="1"/>
  <c r="CD51" i="1"/>
  <c r="BQ39" i="1"/>
  <c r="BQ27" i="1"/>
  <c r="BP27" i="1"/>
  <c r="BJ54" i="1"/>
  <c r="DV6" i="1"/>
  <c r="CD48" i="1"/>
  <c r="BQ6" i="1"/>
  <c r="BI93" i="1"/>
  <c r="DW6" i="1"/>
  <c r="BP63" i="1"/>
  <c r="BP6" i="1"/>
  <c r="BO6" i="1"/>
  <c r="BM6" i="1"/>
  <c r="BN6" i="1"/>
  <c r="BL6" i="1"/>
  <c r="BK6" i="1"/>
  <c r="BJ6" i="1"/>
  <c r="CF54" i="1" l="1"/>
  <c r="CI54" i="1"/>
  <c r="CI6" i="1"/>
  <c r="CH6" i="1"/>
  <c r="CJ6" i="1"/>
  <c r="CH54" i="1"/>
  <c r="CN6" i="1"/>
  <c r="CD87" i="1"/>
  <c r="CN54" i="1"/>
  <c r="CM6" i="1"/>
  <c r="CM54" i="1"/>
  <c r="CL54" i="1"/>
  <c r="CL6" i="1"/>
  <c r="CD93" i="1"/>
  <c r="CE93" i="1" s="1"/>
  <c r="CE48" i="1"/>
  <c r="CO54" i="1"/>
  <c r="CD27" i="1"/>
  <c r="CE27" i="1" s="1"/>
  <c r="CK6" i="1"/>
  <c r="CQ54" i="1"/>
  <c r="CG54" i="1"/>
  <c r="CD39" i="1"/>
  <c r="CE36" i="1" s="1"/>
  <c r="CG6" i="1"/>
  <c r="CF6" i="1"/>
  <c r="CP54" i="1"/>
  <c r="CJ54" i="1"/>
  <c r="CO6" i="1"/>
  <c r="CD21" i="1"/>
  <c r="CE21" i="1" s="1"/>
  <c r="CP6" i="1"/>
  <c r="CD54" i="1"/>
  <c r="CE54" i="1" s="1"/>
  <c r="CK54" i="1"/>
  <c r="CD63" i="1"/>
  <c r="CE63" i="1" s="1"/>
  <c r="CD75" i="1"/>
  <c r="CQ6" i="1"/>
  <c r="CD6" i="1"/>
  <c r="CE6" i="1" s="1"/>
  <c r="DN6" i="1" l="1"/>
  <c r="DE6" i="1"/>
  <c r="DG6" i="1"/>
  <c r="CE75" i="1"/>
  <c r="DI6" i="1"/>
  <c r="DH6" i="1"/>
  <c r="DP6" i="1"/>
  <c r="DM6" i="1"/>
  <c r="DJ6" i="1"/>
  <c r="DL6" i="1"/>
  <c r="DF6" i="1"/>
  <c r="DK6" i="1"/>
  <c r="DO6" i="1"/>
  <c r="DD54" i="1"/>
  <c r="DD6" i="1"/>
  <c r="EC6" i="1" l="1"/>
  <c r="EE6" i="1" s="1"/>
  <c r="EF6" i="1" l="1"/>
</calcChain>
</file>

<file path=xl/sharedStrings.xml><?xml version="1.0" encoding="utf-8"?>
<sst xmlns="http://schemas.openxmlformats.org/spreadsheetml/2006/main" count="603" uniqueCount="278">
  <si>
    <t>Punto de control</t>
  </si>
  <si>
    <t>Continuidad promedio en las zonas</t>
  </si>
  <si>
    <t>Continuidad promedio en los sectores</t>
  </si>
  <si>
    <t>N° de conexiones activas de agua potable en el sector de abastecimiento al finalizar el mes</t>
  </si>
  <si>
    <t>Alta</t>
  </si>
  <si>
    <t>Media</t>
  </si>
  <si>
    <t>Baja</t>
  </si>
  <si>
    <t>Sector Operacional</t>
  </si>
  <si>
    <t>R1</t>
  </si>
  <si>
    <t>1-A</t>
  </si>
  <si>
    <t>R2</t>
  </si>
  <si>
    <t>2-B</t>
  </si>
  <si>
    <t>R3</t>
  </si>
  <si>
    <t>3-C</t>
  </si>
  <si>
    <t>R4</t>
  </si>
  <si>
    <t>2-K</t>
  </si>
  <si>
    <t>4-D</t>
  </si>
  <si>
    <t>1-J</t>
  </si>
  <si>
    <t>R6</t>
  </si>
  <si>
    <t>3-L</t>
  </si>
  <si>
    <t>ZONA</t>
  </si>
  <si>
    <t>ZONA PUERTO - PACOCHA</t>
  </si>
  <si>
    <t>R5</t>
  </si>
  <si>
    <t>R7</t>
  </si>
  <si>
    <t>R8 / R9</t>
  </si>
  <si>
    <t>R10</t>
  </si>
  <si>
    <t>ZONA PAMPA INALAMBRICA</t>
  </si>
  <si>
    <t>1AA-001</t>
  </si>
  <si>
    <t>1AA-002</t>
  </si>
  <si>
    <t>1AA-003</t>
  </si>
  <si>
    <t>1AA-004</t>
  </si>
  <si>
    <t>1AA-005</t>
  </si>
  <si>
    <t>DIRECCION</t>
  </si>
  <si>
    <t>1AM-001</t>
  </si>
  <si>
    <t>1AM-002</t>
  </si>
  <si>
    <t>1AM-003</t>
  </si>
  <si>
    <t>1AM-004</t>
  </si>
  <si>
    <t>1AM-005</t>
  </si>
  <si>
    <t>1AB-001</t>
  </si>
  <si>
    <t>1AB-002</t>
  </si>
  <si>
    <t>1AB-003</t>
  </si>
  <si>
    <t>1AB-004</t>
  </si>
  <si>
    <t>1AB-005</t>
  </si>
  <si>
    <t>C. Cuajone Mz.T Lt.4</t>
  </si>
  <si>
    <t>C. Cuajone Mz.U Lt.2</t>
  </si>
  <si>
    <t>Nueva Esperanza Mz. E Lt.6</t>
  </si>
  <si>
    <t>kennedy Mz. E Lt.71</t>
  </si>
  <si>
    <t>Nueva Esperanza Mz. H Lt.5</t>
  </si>
  <si>
    <t>Jhon F. kennedy Mz. M Lt. 8</t>
  </si>
  <si>
    <t>Urb. Enapu Perú Mz.C Lt. 10</t>
  </si>
  <si>
    <t>18 de Mayo Mz.H Lt. 13</t>
  </si>
  <si>
    <t>Bello Horizonte Mz. A Lt. 16</t>
  </si>
  <si>
    <t>Amp. Bello Horizonte Mz. L' Lt. 2</t>
  </si>
  <si>
    <t>Urb. Garibaldi Mz. O Lt. 202</t>
  </si>
  <si>
    <t>Jr. Abtao 314</t>
  </si>
  <si>
    <t>Nylon San Pedro Mz. D Lt. 22</t>
  </si>
  <si>
    <t>Urb. Costa Azul Mz. D Lt. 18</t>
  </si>
  <si>
    <t>Urb. Magisterial Mz. M Lt. 7</t>
  </si>
  <si>
    <t>Promuvi pacocha Mz. E Lt. 1</t>
  </si>
  <si>
    <t>Ciudad Nueva Block H - 56</t>
  </si>
  <si>
    <t>Ciudad Nueva Mz. E Lt. 22</t>
  </si>
  <si>
    <t>Las Terrazas Mz. T Lt. 24</t>
  </si>
  <si>
    <t>Ciudad Nueva Block H - 18</t>
  </si>
  <si>
    <t>Ciudad Nueva Block E - 1</t>
  </si>
  <si>
    <t>Ciudad Nueva (Frentera H) - 26</t>
  </si>
  <si>
    <t>Urb. Cesar Vallejo Mz. A Lt. 1</t>
  </si>
  <si>
    <t>Valle Hermoso Mz. D Lt. 11</t>
  </si>
  <si>
    <t>1JA-001</t>
  </si>
  <si>
    <t>1JA-002</t>
  </si>
  <si>
    <t>1JA-003</t>
  </si>
  <si>
    <t>1JM-001</t>
  </si>
  <si>
    <t>1JM-002</t>
  </si>
  <si>
    <t>1JM-003</t>
  </si>
  <si>
    <t>1JB-001</t>
  </si>
  <si>
    <t>1JB-002</t>
  </si>
  <si>
    <t>1JB-003</t>
  </si>
  <si>
    <t>Cesar Vallejo Mz. J Lt. 1</t>
  </si>
  <si>
    <t>Alto Ilo Chalaca Mz. D Lt. 2</t>
  </si>
  <si>
    <t>Kennedy Morales Mz. B Lt.1</t>
  </si>
  <si>
    <t>Chalaca Mz. E Lt. 19</t>
  </si>
  <si>
    <t>San Pedro Mz. P Lt. 12</t>
  </si>
  <si>
    <t>Nylon Alto Ilo Mz. M lt. 8</t>
  </si>
  <si>
    <t>2BA-001</t>
  </si>
  <si>
    <t>2BA-002</t>
  </si>
  <si>
    <t>2BM-001</t>
  </si>
  <si>
    <t>2BM-002</t>
  </si>
  <si>
    <t>2BB-001</t>
  </si>
  <si>
    <t>2BB-002</t>
  </si>
  <si>
    <t>2KA-001</t>
  </si>
  <si>
    <t>2KM-001</t>
  </si>
  <si>
    <t>2KB-001</t>
  </si>
  <si>
    <t>Ciudad Jardin Mz. U Lt. 14</t>
  </si>
  <si>
    <t>Ciudad Jardin Mz. J Lt. 28</t>
  </si>
  <si>
    <t>Ciudad Jardin Mz. B Lt. 30</t>
  </si>
  <si>
    <t>Temporales Mz. Z Lt. 42</t>
  </si>
  <si>
    <t>Temporales SA - 5</t>
  </si>
  <si>
    <t>Temporales SA - 1</t>
  </si>
  <si>
    <t>3LA-001</t>
  </si>
  <si>
    <t>3LM-001</t>
  </si>
  <si>
    <t>3LB-001</t>
  </si>
  <si>
    <t>San Geronimo Mz. F Lt. 25</t>
  </si>
  <si>
    <t>Tupac Amaru Mz.A Lt. 13</t>
  </si>
  <si>
    <t>4DA-001</t>
  </si>
  <si>
    <t>4DM-001</t>
  </si>
  <si>
    <t>4DB-001</t>
  </si>
  <si>
    <t>Miguel Grau Mz. N Lt. 1</t>
  </si>
  <si>
    <t>Miramar Parte Alta Mz. C Lt. 12</t>
  </si>
  <si>
    <t>Miramar Parte Prima Mz. P' Lt. 27</t>
  </si>
  <si>
    <t>Miramar Parte Baja Mz. A Lt. 8</t>
  </si>
  <si>
    <t>Miramar Parte Baja Mz. K Lt. 18</t>
  </si>
  <si>
    <t>Miramar Parte Prima Mz. W Lt. 22</t>
  </si>
  <si>
    <t>Parque Artesanal Mz. I Lt. 4</t>
  </si>
  <si>
    <t>Villa Hermosa Mz. Z Lt. 10</t>
  </si>
  <si>
    <t>Miramar Parte Baja Mz. Z* Lt. 10</t>
  </si>
  <si>
    <t>3CA-001</t>
  </si>
  <si>
    <t>3CA-002</t>
  </si>
  <si>
    <t>3CA-003</t>
  </si>
  <si>
    <t>3CM-001</t>
  </si>
  <si>
    <t>3CM-002</t>
  </si>
  <si>
    <t>3CM-003</t>
  </si>
  <si>
    <t>3CB-001</t>
  </si>
  <si>
    <t>3CB-002</t>
  </si>
  <si>
    <t>3CB-003</t>
  </si>
  <si>
    <t>5-E</t>
  </si>
  <si>
    <t>9-I</t>
  </si>
  <si>
    <t>8-H</t>
  </si>
  <si>
    <t>6-F</t>
  </si>
  <si>
    <t>7-G</t>
  </si>
  <si>
    <t>Villa Las Lomas Mz. 177 Lt.10</t>
  </si>
  <si>
    <t>Mirador El Pacifico Mz. 128 Lt. 1</t>
  </si>
  <si>
    <t>2 de marzo-Boca del Sapo Mz. X Lt. 15</t>
  </si>
  <si>
    <t>Vista al Mar Mz. 149 Lt. 24</t>
  </si>
  <si>
    <t>Boca del Sapo Mz. L Lt. 15</t>
  </si>
  <si>
    <t>7GA-001</t>
  </si>
  <si>
    <t>7GA-002</t>
  </si>
  <si>
    <t>7GM-001</t>
  </si>
  <si>
    <t>7GM-002</t>
  </si>
  <si>
    <t>7GB-001</t>
  </si>
  <si>
    <t>7GB-002</t>
  </si>
  <si>
    <t>Luis E. Valcarcel Mz.54 Lt. 18</t>
  </si>
  <si>
    <t>Daniel A. Carrion Mz. 4 Lt. 3</t>
  </si>
  <si>
    <t>Luis E. Valcarcel-Enace (Frente Mz.1) Lt. 4</t>
  </si>
  <si>
    <t>Magisterio I Mz. 18 Lt. 6</t>
  </si>
  <si>
    <t>Magisterio II Mz. 40 Lt. 4</t>
  </si>
  <si>
    <t>Agrupacion Cesar Vallejo - Alto Ilo Mz. A Lt. 15</t>
  </si>
  <si>
    <t>Agrupacion Cesar Vallejo Mz. E Lt. 14</t>
  </si>
  <si>
    <t>Agrupacion Cesar Vallejo Mz. I Lt. 2</t>
  </si>
  <si>
    <t>5EA-001</t>
  </si>
  <si>
    <t>5EA-002</t>
  </si>
  <si>
    <t>5EA-003</t>
  </si>
  <si>
    <t>5EM-001</t>
  </si>
  <si>
    <t>5EM-002</t>
  </si>
  <si>
    <t>5EM-003</t>
  </si>
  <si>
    <t>5EB-001</t>
  </si>
  <si>
    <t>5EB-002</t>
  </si>
  <si>
    <t>5EB-003</t>
  </si>
  <si>
    <t>Nueva Victoria Mz. 14 Lt. 1</t>
  </si>
  <si>
    <t>Nueva Victoria Mz. 5 Lt. 3</t>
  </si>
  <si>
    <t>Tren al Sur Mz. L Lt. 1</t>
  </si>
  <si>
    <t>Soc. Villa Municipal Mz. D lt. 5</t>
  </si>
  <si>
    <t>Nuevo Ilo Mz. 1 Lt. 1</t>
  </si>
  <si>
    <t>Jose C. Mariategui Mz. A Lt. 5</t>
  </si>
  <si>
    <t>Jose C. Mariategui (Frente a Mz. K) Lt. 5</t>
  </si>
  <si>
    <t>Siglo XXI Mz. J Lt. 5</t>
  </si>
  <si>
    <t>Villa Metalurgica Mz. F Lt. 10</t>
  </si>
  <si>
    <t>Villa El Porteño Mz. C Lt. 10</t>
  </si>
  <si>
    <t>Asoc. Amauta Mz. F Lt. 11</t>
  </si>
  <si>
    <t>Asoc. Amauta Mz. J Lt. 8</t>
  </si>
  <si>
    <t>6FA-001</t>
  </si>
  <si>
    <t>6FA-002</t>
  </si>
  <si>
    <t>6FA-003</t>
  </si>
  <si>
    <t>6FA-004</t>
  </si>
  <si>
    <t>6FM-001</t>
  </si>
  <si>
    <t>6FM-002</t>
  </si>
  <si>
    <t>6FM-003</t>
  </si>
  <si>
    <t>6FM-004</t>
  </si>
  <si>
    <t>6FB-001</t>
  </si>
  <si>
    <t>6FB-002</t>
  </si>
  <si>
    <t>6FB-003</t>
  </si>
  <si>
    <t>6FB-004</t>
  </si>
  <si>
    <t>Promuvi XII - 3 de Setiembre Mz. 3 Lt. 1</t>
  </si>
  <si>
    <t>Villa Hermosa - Promuvi XII Mz. N' Lt. 13</t>
  </si>
  <si>
    <t>Ciudad de la Juventud - Promuvi XI Mz.M Lt. 2</t>
  </si>
  <si>
    <t>Villa Pacifico Mz. 18 Lt. 12</t>
  </si>
  <si>
    <t>Las Brisas V Mz. 68 Lt. 4</t>
  </si>
  <si>
    <t>Villa La Libertad Mz. E Lt. 1</t>
  </si>
  <si>
    <t>Las Brisas V Mz. 56 Lt. 15</t>
  </si>
  <si>
    <t>Las Brisas III Mz. 18 Lt. 1</t>
  </si>
  <si>
    <t>Carcil - Artesanal Regional del Sur Mz. P Lt. 11</t>
  </si>
  <si>
    <t>Carcil - Artesanal Regional del Sur Mz. F Lt. 3</t>
  </si>
  <si>
    <t>9IA-001</t>
  </si>
  <si>
    <t>9IA-002</t>
  </si>
  <si>
    <t>9IA-003</t>
  </si>
  <si>
    <t>9IA-004</t>
  </si>
  <si>
    <t>9IM-001</t>
  </si>
  <si>
    <t>9IM-002</t>
  </si>
  <si>
    <t>9IM-003</t>
  </si>
  <si>
    <t>9IM-004</t>
  </si>
  <si>
    <t>9IB-001</t>
  </si>
  <si>
    <t>9IB-002</t>
  </si>
  <si>
    <t>9IB-003</t>
  </si>
  <si>
    <t>9IB-004</t>
  </si>
  <si>
    <t>Santa Rosa - Promuvi I Mz. 28 Lt. 2</t>
  </si>
  <si>
    <t>Santa Rosa - Promuvi I Mz. 51 Lt. 20</t>
  </si>
  <si>
    <t>Santa Rosa - Promuvi I Mz. 75 Lt. 11</t>
  </si>
  <si>
    <t>Villa La Paz - Santa Rosa Mz. 85 Lt. 10</t>
  </si>
  <si>
    <t>La Alameda - Santa Rosa Mz. 90 Lt. 2</t>
  </si>
  <si>
    <t>La Alameda - Santa Rosa Mz. 101 Lt. 2</t>
  </si>
  <si>
    <t>Los Olivos - Santa Rosa Mz. 2 Lt. 1</t>
  </si>
  <si>
    <t>Santa Rosa - Promuvi I Mz. 54 Lt. 1</t>
  </si>
  <si>
    <t>Los Arenales Mz. 119 Lt. 4</t>
  </si>
  <si>
    <t>Nueva Alianza Mz. 170 Lt. 2</t>
  </si>
  <si>
    <t>Alto Chiribaya Mz. 88 Lt. 4</t>
  </si>
  <si>
    <t>24 de octubre Mz. 19 Lt. 9</t>
  </si>
  <si>
    <t>Amp. 24 de octubre Mz. 37 Lt.10</t>
  </si>
  <si>
    <t>Costa Verde Mz. 182 Lt. 8</t>
  </si>
  <si>
    <t>Bella Vista Mz. 41 Lt. 7</t>
  </si>
  <si>
    <t>Vista Azul Mz. 10 Lt. 29</t>
  </si>
  <si>
    <t>Nuevo Ilo Mz. 22 Lt. 28</t>
  </si>
  <si>
    <t>Nuevo Ilo Mz. 27 Lt. 7</t>
  </si>
  <si>
    <t>Nuevo Ilo Mz. 7 Lt. 10</t>
  </si>
  <si>
    <t>Nuevo Ilo Mz. 31 Lt. 1</t>
  </si>
  <si>
    <t>8HA-001</t>
  </si>
  <si>
    <t>8HA-002</t>
  </si>
  <si>
    <t>8HA-003</t>
  </si>
  <si>
    <t>8HA-004</t>
  </si>
  <si>
    <t>8HA-006</t>
  </si>
  <si>
    <t>8HA-007</t>
  </si>
  <si>
    <t>8HM-001</t>
  </si>
  <si>
    <t>8HM-002</t>
  </si>
  <si>
    <t>8HM-003</t>
  </si>
  <si>
    <t>8HM-004</t>
  </si>
  <si>
    <t>8HM-005</t>
  </si>
  <si>
    <t>8HM-006</t>
  </si>
  <si>
    <t>8HB-001</t>
  </si>
  <si>
    <t>8HB-002</t>
  </si>
  <si>
    <t>8HB-003</t>
  </si>
  <si>
    <t>8HB-004</t>
  </si>
  <si>
    <t>8HB-005</t>
  </si>
  <si>
    <t>8HB-006</t>
  </si>
  <si>
    <t>8HB-007</t>
  </si>
  <si>
    <t>Continuidad promedio del sector operacional</t>
  </si>
  <si>
    <t>Continuidad promedio de fuente de abastecimiento</t>
  </si>
  <si>
    <t>Continuidad por punto de control (Formato Hora)</t>
  </si>
  <si>
    <t>Continuidad por punto de control (Formato Decimal)</t>
  </si>
  <si>
    <t>Continuidad promedio en el mes a nivel de zona</t>
  </si>
  <si>
    <t>Continuidad promedio del año a nivel de zona</t>
  </si>
  <si>
    <t>LOCALIDAD</t>
  </si>
  <si>
    <t>PROVINCIA DE ILO</t>
  </si>
  <si>
    <t>Continuidad promedio del año a nivel de localidad</t>
  </si>
  <si>
    <t>Continuidad promedio en el mes a nivel de localidad</t>
  </si>
  <si>
    <t>N° de conexiones activas de agua potable en la localidad al finalizar el mes</t>
  </si>
  <si>
    <t>ICI a nivel localidad</t>
  </si>
  <si>
    <t>ICI a nivel EPS</t>
  </si>
  <si>
    <t>VALOR META 2026 (SUNASS)</t>
  </si>
  <si>
    <t>N° de conexiones activas en la zona de presion al finalizar el mes</t>
  </si>
  <si>
    <t>FUENTE DE ABASTECIMIENTO (RESERVORIO)</t>
  </si>
  <si>
    <t>Zona de presion</t>
  </si>
  <si>
    <t>VALOR META 2026 (EPS ILO)</t>
  </si>
  <si>
    <t>Presion por punto de control (m.c.a.)</t>
  </si>
  <si>
    <t>Presion promedio en las zonas</t>
  </si>
  <si>
    <t>Presion promedio en los sectores</t>
  </si>
  <si>
    <t>Presion promedio del sector operacional</t>
  </si>
  <si>
    <t>Presion promedio de fuente de abastecimiento</t>
  </si>
  <si>
    <t>Presion promedio en el mes a nivel de zona</t>
  </si>
  <si>
    <t>Presion promedio del año a nivel de zona</t>
  </si>
  <si>
    <t>Presion promedio en el mes a nivel de localidad</t>
  </si>
  <si>
    <t>Presion promedio del año a nivel de localidad</t>
  </si>
  <si>
    <t>FORMATO  N°02: META DE GESTION DE PRESION EN LAS REDES DE DISTRIBUCION 2026</t>
  </si>
  <si>
    <t>FORMATO  N°01: META DE GESTION DE CONTINUIDAD EN LAS REDES DE DISTRIBUCION 2026</t>
  </si>
  <si>
    <t xml:space="preserve"> Villa del Mar Mz. A Lt. 1</t>
  </si>
  <si>
    <t xml:space="preserve">La Alameda Mz. 93 Lt. 4 </t>
  </si>
  <si>
    <t xml:space="preserve"> 1° de junio - Promuvi XII Mz. O Lt. 18</t>
  </si>
  <si>
    <t>Los Olivares Mz. 2 Lt. 14</t>
  </si>
  <si>
    <t>Juan Pablo II - Boca del Sapo Mz. N Lt. 17</t>
  </si>
  <si>
    <t>8HA-005</t>
  </si>
  <si>
    <t>8HM-007</t>
  </si>
  <si>
    <t>Villa Progreso Mz. 23 Lt.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</si>
</sst>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hh]:mm:ss"/>
  </numFmts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b/>
      <i/>
      <sz val="28"/>
      <name val="Arial"/>
      <family val="2"/>
    </font>
    <font>
      <b/>
      <i/>
      <sz val="36"/>
      <color theme="1"/>
      <name val="Artifakt Element Black"/>
      <family val="2"/>
    </font>
    <font>
      <b/>
      <sz val="36"/>
      <color theme="1"/>
      <name val="Artifakt Element Black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i/>
      <sz val="72"/>
      <color theme="1"/>
      <name val="Calibri"/>
      <family val="2"/>
      <scheme val="minor"/>
    </font>
    <font>
      <b/>
      <sz val="24"/>
      <name val="Arial"/>
      <family val="2"/>
    </font>
    <font>
      <sz val="24"/>
      <color theme="1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CCFF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" fontId="2" fillId="4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17" fontId="2" fillId="4" borderId="13" xfId="0" applyNumberFormat="1" applyFont="1" applyFill="1" applyBorder="1" applyAlignment="1">
      <alignment horizontal="center" vertical="center" wrapText="1"/>
    </xf>
    <xf numFmtId="17" fontId="2" fillId="4" borderId="14" xfId="0" applyNumberFormat="1" applyFont="1" applyFill="1" applyBorder="1" applyAlignment="1">
      <alignment horizontal="center" vertical="center" wrapText="1"/>
    </xf>
    <xf numFmtId="17" fontId="2" fillId="4" borderId="30" xfId="0" applyNumberFormat="1" applyFont="1" applyFill="1" applyBorder="1" applyAlignment="1">
      <alignment horizontal="center" vertical="center" wrapText="1"/>
    </xf>
    <xf numFmtId="17" fontId="2" fillId="4" borderId="31" xfId="0" applyNumberFormat="1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2" fontId="9" fillId="7" borderId="9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65" fontId="9" fillId="5" borderId="11" xfId="0" applyNumberFormat="1" applyFont="1" applyFill="1" applyBorder="1" applyAlignment="1">
      <alignment horizontal="center" vertical="center"/>
    </xf>
    <xf numFmtId="2" fontId="9" fillId="7" borderId="10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2" fontId="9" fillId="7" borderId="11" xfId="0" applyNumberFormat="1" applyFon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9" fillId="5" borderId="14" xfId="0" applyNumberFormat="1" applyFont="1" applyFill="1" applyBorder="1" applyAlignment="1">
      <alignment horizontal="center" vertical="center"/>
    </xf>
    <xf numFmtId="2" fontId="9" fillId="7" borderId="12" xfId="0" applyNumberFormat="1" applyFont="1" applyFill="1" applyBorder="1" applyAlignment="1">
      <alignment horizontal="center" vertical="center"/>
    </xf>
    <xf numFmtId="2" fontId="9" fillId="7" borderId="13" xfId="0" applyNumberFormat="1" applyFont="1" applyFill="1" applyBorder="1" applyAlignment="1">
      <alignment horizontal="center" vertical="center"/>
    </xf>
    <xf numFmtId="2" fontId="9" fillId="7" borderId="14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2" fontId="9" fillId="5" borderId="8" xfId="0" applyNumberFormat="1" applyFont="1" applyFill="1" applyBorder="1" applyAlignment="1">
      <alignment horizontal="center" vertical="center"/>
    </xf>
    <xf numFmtId="2" fontId="9" fillId="5" borderId="9" xfId="0" applyNumberFormat="1" applyFont="1" applyFill="1" applyBorder="1" applyAlignment="1">
      <alignment horizontal="center" vertical="center"/>
    </xf>
    <xf numFmtId="2" fontId="9" fillId="5" borderId="10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2" fontId="9" fillId="5" borderId="11" xfId="0" applyNumberFormat="1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2" fontId="9" fillId="5" borderId="13" xfId="0" applyNumberFormat="1" applyFont="1" applyFill="1" applyBorder="1" applyAlignment="1">
      <alignment horizontal="center" vertical="center"/>
    </xf>
    <xf numFmtId="2" fontId="9" fillId="5" borderId="14" xfId="0" applyNumberFormat="1" applyFont="1" applyFill="1" applyBorder="1" applyAlignment="1">
      <alignment horizontal="center" vertical="center"/>
    </xf>
    <xf numFmtId="2" fontId="9" fillId="5" borderId="30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2" fontId="9" fillId="5" borderId="3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4" fillId="11" borderId="8" xfId="0" applyFont="1" applyFill="1" applyBorder="1" applyAlignment="1">
      <alignment horizontal="left" vertical="center"/>
    </xf>
    <xf numFmtId="0" fontId="15" fillId="11" borderId="8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left" vertical="center"/>
    </xf>
    <xf numFmtId="0" fontId="15" fillId="11" borderId="1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2" fontId="9" fillId="7" borderId="3" xfId="0" applyNumberFormat="1" applyFont="1" applyFill="1" applyBorder="1" applyAlignment="1">
      <alignment horizontal="center" vertical="center"/>
    </xf>
    <xf numFmtId="2" fontId="9" fillId="7" borderId="2" xfId="0" applyNumberFormat="1" applyFont="1" applyFill="1" applyBorder="1" applyAlignment="1">
      <alignment horizontal="center" vertical="center"/>
    </xf>
    <xf numFmtId="2" fontId="9" fillId="7" borderId="65" xfId="0" applyNumberFormat="1" applyFont="1" applyFill="1" applyBorder="1" applyAlignment="1">
      <alignment horizontal="center" vertical="center"/>
    </xf>
    <xf numFmtId="2" fontId="9" fillId="5" borderId="59" xfId="0" applyNumberFormat="1" applyFont="1" applyFill="1" applyBorder="1" applyAlignment="1">
      <alignment horizontal="center" vertical="center"/>
    </xf>
    <xf numFmtId="2" fontId="9" fillId="5" borderId="65" xfId="0" applyNumberFormat="1" applyFont="1" applyFill="1" applyBorder="1" applyAlignment="1">
      <alignment horizontal="center" vertical="center"/>
    </xf>
    <xf numFmtId="2" fontId="9" fillId="5" borderId="3" xfId="0" applyNumberFormat="1" applyFont="1" applyFill="1" applyBorder="1" applyAlignment="1">
      <alignment horizontal="center" vertical="center"/>
    </xf>
    <xf numFmtId="2" fontId="9" fillId="5" borderId="32" xfId="0" applyNumberFormat="1" applyFont="1" applyFill="1" applyBorder="1" applyAlignment="1">
      <alignment horizontal="center" vertical="center"/>
    </xf>
    <xf numFmtId="2" fontId="9" fillId="5" borderId="36" xfId="0" applyNumberFormat="1" applyFont="1" applyFill="1" applyBorder="1" applyAlignment="1">
      <alignment horizontal="center" vertical="center"/>
    </xf>
    <xf numFmtId="2" fontId="9" fillId="5" borderId="6" xfId="0" applyNumberFormat="1" applyFont="1" applyFill="1" applyBorder="1" applyAlignment="1">
      <alignment horizontal="center" vertical="center"/>
    </xf>
    <xf numFmtId="2" fontId="9" fillId="5" borderId="37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4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 vertical="center"/>
    </xf>
    <xf numFmtId="1" fontId="9" fillId="0" borderId="47" xfId="0" applyNumberFormat="1" applyFont="1" applyBorder="1" applyAlignment="1">
      <alignment horizontal="center" vertical="center"/>
    </xf>
    <xf numFmtId="1" fontId="9" fillId="0" borderId="48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10" fontId="13" fillId="0" borderId="61" xfId="0" applyNumberFormat="1" applyFont="1" applyBorder="1" applyAlignment="1">
      <alignment horizontal="center" vertical="center"/>
    </xf>
    <xf numFmtId="10" fontId="13" fillId="0" borderId="62" xfId="0" applyNumberFormat="1" applyFont="1" applyBorder="1" applyAlignment="1">
      <alignment horizontal="center" vertical="center"/>
    </xf>
    <xf numFmtId="10" fontId="13" fillId="0" borderId="63" xfId="0" applyNumberFormat="1" applyFont="1" applyBorder="1" applyAlignment="1">
      <alignment horizontal="center" vertical="center"/>
    </xf>
    <xf numFmtId="10" fontId="13" fillId="0" borderId="25" xfId="0" applyNumberFormat="1" applyFont="1" applyBorder="1" applyAlignment="1">
      <alignment horizontal="center" vertical="center"/>
    </xf>
    <xf numFmtId="10" fontId="13" fillId="0" borderId="26" xfId="0" applyNumberFormat="1" applyFont="1" applyBorder="1" applyAlignment="1">
      <alignment horizontal="center" vertical="center"/>
    </xf>
    <xf numFmtId="10" fontId="13" fillId="0" borderId="27" xfId="0" applyNumberFormat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2" fontId="10" fillId="12" borderId="58" xfId="0" applyNumberFormat="1" applyFont="1" applyFill="1" applyBorder="1" applyAlignment="1">
      <alignment horizontal="center" vertical="center"/>
    </xf>
    <xf numFmtId="2" fontId="10" fillId="12" borderId="59" xfId="0" applyNumberFormat="1" applyFont="1" applyFill="1" applyBorder="1" applyAlignment="1">
      <alignment horizontal="center" vertical="center"/>
    </xf>
    <xf numFmtId="2" fontId="10" fillId="12" borderId="60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textRotation="90"/>
    </xf>
    <xf numFmtId="0" fontId="7" fillId="0" borderId="26" xfId="0" applyFont="1" applyBorder="1" applyAlignment="1">
      <alignment horizontal="center" vertical="center" textRotation="90"/>
    </xf>
    <xf numFmtId="0" fontId="7" fillId="0" borderId="27" xfId="0" applyFont="1" applyBorder="1" applyAlignment="1">
      <alignment horizontal="center" vertical="center" textRotation="90"/>
    </xf>
    <xf numFmtId="0" fontId="2" fillId="4" borderId="27" xfId="0" applyFont="1" applyFill="1" applyBorder="1" applyAlignment="1">
      <alignment horizontal="center" vertical="center" wrapText="1"/>
    </xf>
    <xf numFmtId="2" fontId="9" fillId="12" borderId="25" xfId="0" applyNumberFormat="1" applyFont="1" applyFill="1" applyBorder="1" applyAlignment="1">
      <alignment horizontal="center" vertical="center"/>
    </xf>
    <xf numFmtId="2" fontId="9" fillId="12" borderId="26" xfId="0" applyNumberFormat="1" applyFont="1" applyFill="1" applyBorder="1" applyAlignment="1">
      <alignment horizontal="center" vertical="center"/>
    </xf>
    <xf numFmtId="2" fontId="9" fillId="12" borderId="27" xfId="0" applyNumberFormat="1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1" fontId="9" fillId="0" borderId="42" xfId="0" applyNumberFormat="1" applyFont="1" applyBorder="1" applyAlignment="1">
      <alignment horizontal="center" vertical="center"/>
    </xf>
    <xf numFmtId="1" fontId="9" fillId="0" borderId="43" xfId="0" applyNumberFormat="1" applyFont="1" applyBorder="1" applyAlignment="1">
      <alignment horizontal="center" vertical="center"/>
    </xf>
    <xf numFmtId="1" fontId="9" fillId="0" borderId="44" xfId="0" applyNumberFormat="1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" fontId="9" fillId="0" borderId="34" xfId="0" applyNumberFormat="1" applyFont="1" applyBorder="1" applyAlignment="1">
      <alignment horizontal="center" vertical="center"/>
    </xf>
    <xf numFmtId="2" fontId="9" fillId="12" borderId="61" xfId="0" applyNumberFormat="1" applyFont="1" applyFill="1" applyBorder="1" applyAlignment="1">
      <alignment horizontal="center" vertical="center"/>
    </xf>
    <xf numFmtId="2" fontId="9" fillId="12" borderId="62" xfId="0" applyNumberFormat="1" applyFont="1" applyFill="1" applyBorder="1" applyAlignment="1">
      <alignment horizontal="center" vertical="center"/>
    </xf>
    <xf numFmtId="2" fontId="9" fillId="12" borderId="63" xfId="0" applyNumberFormat="1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30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1" fontId="9" fillId="0" borderId="61" xfId="0" applyNumberFormat="1" applyFont="1" applyBorder="1" applyAlignment="1">
      <alignment horizontal="center" vertical="center"/>
    </xf>
    <xf numFmtId="1" fontId="9" fillId="0" borderId="62" xfId="0" applyNumberFormat="1" applyFont="1" applyBorder="1" applyAlignment="1">
      <alignment horizontal="center" vertical="center"/>
    </xf>
    <xf numFmtId="1" fontId="9" fillId="0" borderId="63" xfId="0" applyNumberFormat="1" applyFont="1" applyBorder="1" applyAlignment="1">
      <alignment horizontal="center" vertical="center"/>
    </xf>
    <xf numFmtId="2" fontId="9" fillId="12" borderId="20" xfId="0" applyNumberFormat="1" applyFont="1" applyFill="1" applyBorder="1" applyAlignment="1">
      <alignment horizontal="center" vertical="center"/>
    </xf>
    <xf numFmtId="2" fontId="9" fillId="12" borderId="21" xfId="0" applyNumberFormat="1" applyFont="1" applyFill="1" applyBorder="1" applyAlignment="1">
      <alignment horizontal="center" vertical="center"/>
    </xf>
    <xf numFmtId="2" fontId="9" fillId="12" borderId="22" xfId="0" applyNumberFormat="1" applyFont="1" applyFill="1" applyBorder="1" applyAlignment="1">
      <alignment horizontal="center" vertical="center"/>
    </xf>
    <xf numFmtId="2" fontId="9" fillId="12" borderId="58" xfId="0" applyNumberFormat="1" applyFont="1" applyFill="1" applyBorder="1" applyAlignment="1">
      <alignment horizontal="center" vertical="center"/>
    </xf>
    <xf numFmtId="2" fontId="9" fillId="12" borderId="59" xfId="0" applyNumberFormat="1" applyFont="1" applyFill="1" applyBorder="1" applyAlignment="1">
      <alignment horizontal="center" vertical="center"/>
    </xf>
    <xf numFmtId="2" fontId="9" fillId="12" borderId="60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2" fontId="12" fillId="2" borderId="26" xfId="0" applyNumberFormat="1" applyFont="1" applyFill="1" applyBorder="1" applyAlignment="1">
      <alignment horizontal="center" vertical="center"/>
    </xf>
    <xf numFmtId="2" fontId="12" fillId="2" borderId="2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2" fontId="9" fillId="3" borderId="25" xfId="0" applyNumberFormat="1" applyFont="1" applyFill="1" applyBorder="1" applyAlignment="1">
      <alignment horizontal="center" vertical="center"/>
    </xf>
    <xf numFmtId="2" fontId="9" fillId="3" borderId="26" xfId="0" applyNumberFormat="1" applyFont="1" applyFill="1" applyBorder="1" applyAlignment="1">
      <alignment horizontal="center" vertical="center"/>
    </xf>
    <xf numFmtId="2" fontId="9" fillId="3" borderId="27" xfId="0" applyNumberFormat="1" applyFont="1" applyFill="1" applyBorder="1" applyAlignment="1">
      <alignment horizontal="center" vertical="center"/>
    </xf>
    <xf numFmtId="2" fontId="9" fillId="3" borderId="29" xfId="0" applyNumberFormat="1" applyFont="1" applyFill="1" applyBorder="1" applyAlignment="1">
      <alignment horizontal="center" vertical="center"/>
    </xf>
    <xf numFmtId="2" fontId="9" fillId="3" borderId="21" xfId="0" applyNumberFormat="1" applyFont="1" applyFill="1" applyBorder="1" applyAlignment="1">
      <alignment horizontal="center" vertical="center"/>
    </xf>
    <xf numFmtId="2" fontId="9" fillId="3" borderId="2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64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2" fontId="9" fillId="3" borderId="20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textRotation="90"/>
    </xf>
    <xf numFmtId="0" fontId="8" fillId="0" borderId="26" xfId="0" applyFont="1" applyBorder="1" applyAlignment="1">
      <alignment horizontal="center" vertical="center" textRotation="90"/>
    </xf>
    <xf numFmtId="0" fontId="8" fillId="0" borderId="27" xfId="0" applyFont="1" applyBorder="1" applyAlignment="1">
      <alignment horizontal="center" vertical="center" textRotation="90"/>
    </xf>
    <xf numFmtId="0" fontId="2" fillId="4" borderId="16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2" fontId="9" fillId="3" borderId="54" xfId="0" applyNumberFormat="1" applyFont="1" applyFill="1" applyBorder="1" applyAlignment="1">
      <alignment horizontal="center" vertical="center"/>
    </xf>
    <xf numFmtId="2" fontId="9" fillId="3" borderId="55" xfId="0" applyNumberFormat="1" applyFont="1" applyFill="1" applyBorder="1" applyAlignment="1">
      <alignment horizontal="center" vertical="center"/>
    </xf>
    <xf numFmtId="2" fontId="9" fillId="3" borderId="56" xfId="0" applyNumberFormat="1" applyFont="1" applyFill="1" applyBorder="1" applyAlignment="1">
      <alignment horizontal="center" vertical="center"/>
    </xf>
    <xf numFmtId="2" fontId="9" fillId="3" borderId="57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/>
    </xf>
    <xf numFmtId="1" fontId="9" fillId="6" borderId="13" xfId="0" applyNumberFormat="1" applyFont="1" applyFill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 vertical="center"/>
    </xf>
    <xf numFmtId="2" fontId="9" fillId="0" borderId="33" xfId="0" applyNumberFormat="1" applyFont="1" applyBorder="1" applyAlignment="1">
      <alignment horizontal="center" vertical="center"/>
    </xf>
    <xf numFmtId="2" fontId="9" fillId="0" borderId="34" xfId="0" applyNumberFormat="1" applyFont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" fontId="9" fillId="6" borderId="14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1" fontId="9" fillId="6" borderId="37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" fontId="9" fillId="0" borderId="40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4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6" borderId="36" xfId="0" applyFont="1" applyFill="1" applyBorder="1" applyAlignment="1">
      <alignment horizontal="center" vertical="center"/>
    </xf>
    <xf numFmtId="2" fontId="12" fillId="8" borderId="61" xfId="0" applyNumberFormat="1" applyFont="1" applyFill="1" applyBorder="1" applyAlignment="1">
      <alignment horizontal="center" vertical="center"/>
    </xf>
    <xf numFmtId="2" fontId="12" fillId="8" borderId="62" xfId="0" applyNumberFormat="1" applyFont="1" applyFill="1" applyBorder="1" applyAlignment="1">
      <alignment horizontal="center" vertical="center"/>
    </xf>
    <xf numFmtId="2" fontId="12" fillId="8" borderId="6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" fontId="12" fillId="2" borderId="66" xfId="0" applyNumberFormat="1" applyFont="1" applyFill="1" applyBorder="1" applyAlignment="1">
      <alignment horizontal="center" vertical="center"/>
    </xf>
    <xf numFmtId="164" fontId="10" fillId="12" borderId="58" xfId="0" applyNumberFormat="1" applyFont="1" applyFill="1" applyBorder="1" applyAlignment="1">
      <alignment horizontal="center" vertical="center"/>
    </xf>
    <xf numFmtId="164" fontId="10" fillId="12" borderId="59" xfId="0" applyNumberFormat="1" applyFont="1" applyFill="1" applyBorder="1" applyAlignment="1">
      <alignment horizontal="center" vertical="center"/>
    </xf>
    <xf numFmtId="164" fontId="10" fillId="12" borderId="60" xfId="0" applyNumberFormat="1" applyFont="1" applyFill="1" applyBorder="1" applyAlignment="1">
      <alignment horizontal="center" vertical="center"/>
    </xf>
    <xf numFmtId="2" fontId="9" fillId="0" borderId="31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9" fillId="0" borderId="58" xfId="0" applyNumberFormat="1" applyFont="1" applyBorder="1" applyAlignment="1">
      <alignment horizontal="center" vertical="center"/>
    </xf>
    <xf numFmtId="2" fontId="9" fillId="0" borderId="59" xfId="0" applyNumberFormat="1" applyFont="1" applyBorder="1" applyAlignment="1">
      <alignment horizontal="center" vertical="center"/>
    </xf>
    <xf numFmtId="2" fontId="9" fillId="0" borderId="30" xfId="0" applyNumberFormat="1" applyFont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65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" fontId="9" fillId="0" borderId="42" xfId="0" applyNumberFormat="1" applyFont="1" applyBorder="1" applyAlignment="1">
      <alignment horizontal="center" vertical="center"/>
    </xf>
    <xf numFmtId="2" fontId="9" fillId="0" borderId="43" xfId="0" applyNumberFormat="1" applyFont="1" applyBorder="1" applyAlignment="1">
      <alignment horizontal="center" vertical="center"/>
    </xf>
    <xf numFmtId="2" fontId="9" fillId="0" borderId="64" xfId="0" applyNumberFormat="1" applyFont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CCCCFF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F115"/>
  <sheetViews>
    <sheetView topLeftCell="DA6" zoomScale="55" zoomScaleNormal="55" workbookViewId="0">
      <selection activeCell="EF6" sqref="EF6:EF113"/>
    </sheetView>
  </sheetViews>
  <sheetFormatPr baseColWidth="10" defaultRowHeight="15"/>
  <cols>
    <col min="1" max="1" width="20.140625" customWidth="1"/>
    <col min="2" max="2" width="13.140625" customWidth="1"/>
    <col min="3" max="3" width="30" customWidth="1"/>
    <col min="4" max="4" width="21.42578125" customWidth="1"/>
    <col min="5" max="5" width="15.85546875" customWidth="1"/>
    <col min="6" max="6" width="52.5703125" customWidth="1"/>
    <col min="7" max="7" width="16.7109375" customWidth="1"/>
    <col min="8" max="13" width="14.42578125" customWidth="1"/>
    <col min="14" max="14" width="14.140625" customWidth="1"/>
    <col min="15" max="15" width="13.140625" customWidth="1"/>
    <col min="16" max="16" width="12.28515625" customWidth="1"/>
    <col min="17" max="17" width="12.5703125" customWidth="1"/>
    <col min="18" max="18" width="12.85546875" customWidth="1"/>
    <col min="19" max="19" width="12.140625" customWidth="1"/>
    <col min="20" max="21" width="12.85546875" customWidth="1"/>
    <col min="22" max="22" width="12.5703125" customWidth="1"/>
    <col min="23" max="23" width="12.28515625" customWidth="1"/>
    <col min="24" max="24" width="13.140625" customWidth="1"/>
    <col min="25" max="25" width="12.5703125" customWidth="1"/>
    <col min="26" max="26" width="11.5703125" customWidth="1"/>
    <col min="27" max="27" width="13.140625" customWidth="1"/>
    <col min="28" max="28" width="12.28515625" customWidth="1"/>
    <col min="29" max="29" width="12.5703125" customWidth="1"/>
    <col min="30" max="30" width="12.85546875" customWidth="1"/>
    <col min="31" max="31" width="12.140625" customWidth="1"/>
    <col min="32" max="32" width="25.140625" customWidth="1"/>
    <col min="33" max="33" width="24.28515625" customWidth="1"/>
    <col min="34" max="35" width="12.85546875" customWidth="1"/>
    <col min="36" max="36" width="12.5703125" customWidth="1"/>
    <col min="37" max="37" width="12.28515625" customWidth="1"/>
    <col min="38" max="38" width="13.140625" customWidth="1"/>
    <col min="39" max="39" width="12.5703125" customWidth="1"/>
    <col min="40" max="40" width="11.5703125" customWidth="1"/>
    <col min="41" max="41" width="13.140625" customWidth="1"/>
    <col min="42" max="42" width="12.28515625" customWidth="1"/>
    <col min="43" max="43" width="12.5703125" customWidth="1"/>
    <col min="44" max="44" width="12.85546875" customWidth="1"/>
    <col min="45" max="45" width="12.140625" customWidth="1"/>
    <col min="46" max="47" width="12.85546875" customWidth="1"/>
    <col min="48" max="48" width="12.5703125" customWidth="1"/>
    <col min="49" max="49" width="12.28515625" customWidth="1"/>
    <col min="50" max="50" width="13.140625" customWidth="1"/>
    <col min="51" max="51" width="12.5703125" customWidth="1"/>
    <col min="52" max="52" width="11.5703125" customWidth="1"/>
    <col min="53" max="53" width="13.140625" customWidth="1"/>
    <col min="54" max="54" width="12.28515625" customWidth="1"/>
    <col min="55" max="55" width="12.5703125" customWidth="1"/>
    <col min="56" max="56" width="12.85546875" customWidth="1"/>
    <col min="57" max="57" width="12.140625" customWidth="1"/>
    <col min="58" max="64" width="14.140625" bestFit="1" customWidth="1"/>
    <col min="65" max="81" width="14.42578125" customWidth="1"/>
    <col min="82" max="83" width="27.7109375" customWidth="1"/>
    <col min="84" max="107" width="14.42578125" customWidth="1"/>
    <col min="108" max="108" width="24.140625" customWidth="1"/>
    <col min="109" max="132" width="14.42578125" customWidth="1"/>
    <col min="133" max="133" width="23.42578125" customWidth="1"/>
    <col min="134" max="134" width="4.140625" customWidth="1"/>
    <col min="135" max="136" width="21.28515625" customWidth="1"/>
  </cols>
  <sheetData>
    <row r="2" spans="1:136" ht="84.75" customHeight="1">
      <c r="A2" s="319" t="s">
        <v>269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</row>
    <row r="3" spans="1:136" ht="16.5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6" ht="42" customHeight="1">
      <c r="A4" s="125" t="s">
        <v>247</v>
      </c>
      <c r="B4" s="125" t="s">
        <v>20</v>
      </c>
      <c r="C4" s="188" t="s">
        <v>256</v>
      </c>
      <c r="D4" s="188" t="s">
        <v>7</v>
      </c>
      <c r="E4" s="188" t="s">
        <v>257</v>
      </c>
      <c r="F4" s="256" t="s">
        <v>32</v>
      </c>
      <c r="G4" s="188" t="s">
        <v>0</v>
      </c>
      <c r="H4" s="188" t="s">
        <v>243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9"/>
      <c r="T4" s="188" t="s">
        <v>244</v>
      </c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9"/>
      <c r="AF4" s="111" t="s">
        <v>254</v>
      </c>
      <c r="AG4" s="111" t="s">
        <v>258</v>
      </c>
      <c r="AH4" s="125" t="s">
        <v>1</v>
      </c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9"/>
      <c r="AT4" s="125" t="s">
        <v>255</v>
      </c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  <c r="BF4" s="125" t="s">
        <v>2</v>
      </c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189"/>
      <c r="BR4" s="125" t="s">
        <v>3</v>
      </c>
      <c r="BS4" s="188"/>
      <c r="BT4" s="188"/>
      <c r="BU4" s="188"/>
      <c r="BV4" s="188"/>
      <c r="BW4" s="188"/>
      <c r="BX4" s="188"/>
      <c r="BY4" s="188"/>
      <c r="BZ4" s="188"/>
      <c r="CA4" s="188"/>
      <c r="CB4" s="188"/>
      <c r="CC4" s="314"/>
      <c r="CD4" s="111" t="s">
        <v>241</v>
      </c>
      <c r="CE4" s="111" t="s">
        <v>242</v>
      </c>
      <c r="CF4" s="125" t="s">
        <v>245</v>
      </c>
      <c r="CG4" s="188"/>
      <c r="CH4" s="188"/>
      <c r="CI4" s="188"/>
      <c r="CJ4" s="188"/>
      <c r="CK4" s="188"/>
      <c r="CL4" s="188"/>
      <c r="CM4" s="188"/>
      <c r="CN4" s="188"/>
      <c r="CO4" s="188"/>
      <c r="CP4" s="188"/>
      <c r="CQ4" s="189"/>
      <c r="CR4" s="125" t="s">
        <v>3</v>
      </c>
      <c r="CS4" s="188"/>
      <c r="CT4" s="188"/>
      <c r="CU4" s="188"/>
      <c r="CV4" s="188"/>
      <c r="CW4" s="188"/>
      <c r="CX4" s="188"/>
      <c r="CY4" s="188"/>
      <c r="CZ4" s="188"/>
      <c r="DA4" s="188"/>
      <c r="DB4" s="188"/>
      <c r="DC4" s="189"/>
      <c r="DD4" s="111" t="s">
        <v>246</v>
      </c>
      <c r="DE4" s="134" t="s">
        <v>250</v>
      </c>
      <c r="DF4" s="135"/>
      <c r="DG4" s="135"/>
      <c r="DH4" s="135"/>
      <c r="DI4" s="135"/>
      <c r="DJ4" s="135"/>
      <c r="DK4" s="135"/>
      <c r="DL4" s="135"/>
      <c r="DM4" s="135"/>
      <c r="DN4" s="135"/>
      <c r="DO4" s="135"/>
      <c r="DP4" s="136"/>
      <c r="DQ4" s="134" t="s">
        <v>251</v>
      </c>
      <c r="DR4" s="135"/>
      <c r="DS4" s="135"/>
      <c r="DT4" s="135"/>
      <c r="DU4" s="135"/>
      <c r="DV4" s="135"/>
      <c r="DW4" s="135"/>
      <c r="DX4" s="135"/>
      <c r="DY4" s="135"/>
      <c r="DZ4" s="135"/>
      <c r="EA4" s="135"/>
      <c r="EB4" s="135"/>
      <c r="EC4" s="111" t="s">
        <v>249</v>
      </c>
      <c r="EE4" s="111" t="s">
        <v>252</v>
      </c>
      <c r="EF4" s="111" t="s">
        <v>253</v>
      </c>
    </row>
    <row r="5" spans="1:136" ht="33" customHeight="1" thickBot="1">
      <c r="A5" s="126"/>
      <c r="B5" s="126"/>
      <c r="C5" s="283"/>
      <c r="D5" s="283"/>
      <c r="E5" s="283"/>
      <c r="F5" s="257"/>
      <c r="G5" s="283"/>
      <c r="H5" s="12">
        <v>46023</v>
      </c>
      <c r="I5" s="12">
        <v>46054</v>
      </c>
      <c r="J5" s="12">
        <v>46082</v>
      </c>
      <c r="K5" s="12">
        <v>46113</v>
      </c>
      <c r="L5" s="12">
        <v>46143</v>
      </c>
      <c r="M5" s="12">
        <v>46174</v>
      </c>
      <c r="N5" s="12">
        <v>46204</v>
      </c>
      <c r="O5" s="12">
        <v>46235</v>
      </c>
      <c r="P5" s="12">
        <v>46266</v>
      </c>
      <c r="Q5" s="12">
        <v>46296</v>
      </c>
      <c r="R5" s="12">
        <v>46327</v>
      </c>
      <c r="S5" s="13">
        <v>46357</v>
      </c>
      <c r="T5" s="12">
        <v>46023</v>
      </c>
      <c r="U5" s="12">
        <v>46054</v>
      </c>
      <c r="V5" s="12">
        <v>46082</v>
      </c>
      <c r="W5" s="12">
        <v>46113</v>
      </c>
      <c r="X5" s="12">
        <v>46143</v>
      </c>
      <c r="Y5" s="12">
        <v>46174</v>
      </c>
      <c r="Z5" s="12">
        <v>46204</v>
      </c>
      <c r="AA5" s="12">
        <v>46235</v>
      </c>
      <c r="AB5" s="12">
        <v>46266</v>
      </c>
      <c r="AC5" s="12">
        <v>46296</v>
      </c>
      <c r="AD5" s="12">
        <v>46327</v>
      </c>
      <c r="AE5" s="13">
        <v>46357</v>
      </c>
      <c r="AF5" s="130"/>
      <c r="AG5" s="130"/>
      <c r="AH5" s="14">
        <v>46023</v>
      </c>
      <c r="AI5" s="5">
        <v>46054</v>
      </c>
      <c r="AJ5" s="5">
        <v>46082</v>
      </c>
      <c r="AK5" s="5">
        <v>46113</v>
      </c>
      <c r="AL5" s="5">
        <v>46143</v>
      </c>
      <c r="AM5" s="5">
        <v>46174</v>
      </c>
      <c r="AN5" s="5">
        <v>46204</v>
      </c>
      <c r="AO5" s="5">
        <v>46235</v>
      </c>
      <c r="AP5" s="5">
        <v>46266</v>
      </c>
      <c r="AQ5" s="5">
        <v>46296</v>
      </c>
      <c r="AR5" s="5">
        <v>46327</v>
      </c>
      <c r="AS5" s="15">
        <v>46357</v>
      </c>
      <c r="AT5" s="12">
        <v>46023</v>
      </c>
      <c r="AU5" s="12">
        <v>46054</v>
      </c>
      <c r="AV5" s="12">
        <v>46082</v>
      </c>
      <c r="AW5" s="12">
        <v>46113</v>
      </c>
      <c r="AX5" s="12">
        <v>46143</v>
      </c>
      <c r="AY5" s="12">
        <v>46174</v>
      </c>
      <c r="AZ5" s="12">
        <v>46204</v>
      </c>
      <c r="BA5" s="12">
        <v>46235</v>
      </c>
      <c r="BB5" s="12">
        <v>46266</v>
      </c>
      <c r="BC5" s="12">
        <v>46296</v>
      </c>
      <c r="BD5" s="12">
        <v>46327</v>
      </c>
      <c r="BE5" s="13">
        <v>46357</v>
      </c>
      <c r="BF5" s="12">
        <v>46023</v>
      </c>
      <c r="BG5" s="12">
        <v>46054</v>
      </c>
      <c r="BH5" s="12">
        <v>46082</v>
      </c>
      <c r="BI5" s="12">
        <v>46113</v>
      </c>
      <c r="BJ5" s="12">
        <v>46143</v>
      </c>
      <c r="BK5" s="12">
        <v>46174</v>
      </c>
      <c r="BL5" s="12">
        <v>46204</v>
      </c>
      <c r="BM5" s="12">
        <v>46235</v>
      </c>
      <c r="BN5" s="12">
        <v>46266</v>
      </c>
      <c r="BO5" s="12">
        <v>46296</v>
      </c>
      <c r="BP5" s="12">
        <v>46327</v>
      </c>
      <c r="BQ5" s="13">
        <v>46357</v>
      </c>
      <c r="BR5" s="12">
        <v>46023</v>
      </c>
      <c r="BS5" s="12">
        <v>46054</v>
      </c>
      <c r="BT5" s="12">
        <v>46082</v>
      </c>
      <c r="BU5" s="12">
        <v>46113</v>
      </c>
      <c r="BV5" s="12">
        <v>46143</v>
      </c>
      <c r="BW5" s="12">
        <v>46174</v>
      </c>
      <c r="BX5" s="12">
        <v>46204</v>
      </c>
      <c r="BY5" s="12">
        <v>46235</v>
      </c>
      <c r="BZ5" s="12">
        <v>46266</v>
      </c>
      <c r="CA5" s="12">
        <v>46296</v>
      </c>
      <c r="CB5" s="12">
        <v>46327</v>
      </c>
      <c r="CC5" s="13">
        <v>46357</v>
      </c>
      <c r="CD5" s="130"/>
      <c r="CE5" s="130"/>
      <c r="CF5" s="12">
        <v>46023</v>
      </c>
      <c r="CG5" s="12">
        <v>46054</v>
      </c>
      <c r="CH5" s="12">
        <v>46082</v>
      </c>
      <c r="CI5" s="12">
        <v>46113</v>
      </c>
      <c r="CJ5" s="12">
        <v>46143</v>
      </c>
      <c r="CK5" s="12">
        <v>46174</v>
      </c>
      <c r="CL5" s="12">
        <v>46204</v>
      </c>
      <c r="CM5" s="12">
        <v>46235</v>
      </c>
      <c r="CN5" s="12">
        <v>46266</v>
      </c>
      <c r="CO5" s="12">
        <v>46296</v>
      </c>
      <c r="CP5" s="12">
        <v>46327</v>
      </c>
      <c r="CQ5" s="13">
        <v>46357</v>
      </c>
      <c r="CR5" s="12">
        <v>46023</v>
      </c>
      <c r="CS5" s="12">
        <v>46054</v>
      </c>
      <c r="CT5" s="12">
        <v>46082</v>
      </c>
      <c r="CU5" s="12">
        <v>46113</v>
      </c>
      <c r="CV5" s="12">
        <v>46143</v>
      </c>
      <c r="CW5" s="12">
        <v>46174</v>
      </c>
      <c r="CX5" s="12">
        <v>46204</v>
      </c>
      <c r="CY5" s="12">
        <v>46235</v>
      </c>
      <c r="CZ5" s="12">
        <v>46266</v>
      </c>
      <c r="DA5" s="12">
        <v>46296</v>
      </c>
      <c r="DB5" s="12">
        <v>46327</v>
      </c>
      <c r="DC5" s="13">
        <v>46357</v>
      </c>
      <c r="DD5" s="130"/>
      <c r="DE5" s="12">
        <v>46023</v>
      </c>
      <c r="DF5" s="12">
        <v>46054</v>
      </c>
      <c r="DG5" s="12">
        <v>46082</v>
      </c>
      <c r="DH5" s="12">
        <v>46113</v>
      </c>
      <c r="DI5" s="12">
        <v>46143</v>
      </c>
      <c r="DJ5" s="12">
        <v>46174</v>
      </c>
      <c r="DK5" s="12">
        <v>46204</v>
      </c>
      <c r="DL5" s="12">
        <v>46235</v>
      </c>
      <c r="DM5" s="12">
        <v>46266</v>
      </c>
      <c r="DN5" s="12">
        <v>46296</v>
      </c>
      <c r="DO5" s="12">
        <v>46327</v>
      </c>
      <c r="DP5" s="13">
        <v>46357</v>
      </c>
      <c r="DQ5" s="12">
        <v>46023</v>
      </c>
      <c r="DR5" s="12">
        <v>46054</v>
      </c>
      <c r="DS5" s="12">
        <v>46082</v>
      </c>
      <c r="DT5" s="12">
        <v>46113</v>
      </c>
      <c r="DU5" s="12">
        <v>46143</v>
      </c>
      <c r="DV5" s="12">
        <v>46174</v>
      </c>
      <c r="DW5" s="12">
        <v>46204</v>
      </c>
      <c r="DX5" s="12">
        <v>46235</v>
      </c>
      <c r="DY5" s="12">
        <v>46266</v>
      </c>
      <c r="DZ5" s="12">
        <v>46296</v>
      </c>
      <c r="EA5" s="12">
        <v>46327</v>
      </c>
      <c r="EB5" s="13">
        <v>46357</v>
      </c>
      <c r="EC5" s="130"/>
      <c r="EE5" s="112"/>
      <c r="EF5" s="112"/>
    </row>
    <row r="6" spans="1:136" ht="20.25" customHeight="1">
      <c r="A6" s="127" t="s">
        <v>248</v>
      </c>
      <c r="B6" s="127" t="s">
        <v>21</v>
      </c>
      <c r="C6" s="284" t="s">
        <v>8</v>
      </c>
      <c r="D6" s="324" t="s">
        <v>9</v>
      </c>
      <c r="E6" s="325" t="s">
        <v>4</v>
      </c>
      <c r="F6" s="8" t="s">
        <v>43</v>
      </c>
      <c r="G6" s="9" t="s">
        <v>27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2"/>
      <c r="T6" s="43">
        <f>H6*24</f>
        <v>0</v>
      </c>
      <c r="U6" s="44">
        <f t="shared" ref="U6:AE7" si="0">I6*24</f>
        <v>0</v>
      </c>
      <c r="V6" s="44">
        <f t="shared" si="0"/>
        <v>0</v>
      </c>
      <c r="W6" s="44">
        <f t="shared" si="0"/>
        <v>0</v>
      </c>
      <c r="X6" s="44">
        <f t="shared" si="0"/>
        <v>0</v>
      </c>
      <c r="Y6" s="44">
        <f t="shared" si="0"/>
        <v>0</v>
      </c>
      <c r="Z6" s="44">
        <f t="shared" si="0"/>
        <v>0</v>
      </c>
      <c r="AA6" s="44">
        <f t="shared" si="0"/>
        <v>0</v>
      </c>
      <c r="AB6" s="44">
        <f t="shared" si="0"/>
        <v>0</v>
      </c>
      <c r="AC6" s="44">
        <f t="shared" si="0"/>
        <v>0</v>
      </c>
      <c r="AD6" s="44">
        <f t="shared" si="0"/>
        <v>0</v>
      </c>
      <c r="AE6" s="45">
        <f t="shared" si="0"/>
        <v>0</v>
      </c>
      <c r="AF6" s="185">
        <v>17</v>
      </c>
      <c r="AG6" s="321">
        <v>19.2</v>
      </c>
      <c r="AH6" s="137">
        <f>IFERROR((SUM(T6:T10)/COUNTIF(T6:T10,"&gt;0")),0)</f>
        <v>23.766666666666666</v>
      </c>
      <c r="AI6" s="140">
        <f>IFERROR((SUM(U6:U10)/COUNTIF(U6:U10,"&gt;0")),0)</f>
        <v>19.861111111111111</v>
      </c>
      <c r="AJ6" s="140">
        <f>IFERROR((SUM(V6:V10)/COUNTIF(V6:V10,"&gt;0")),0)</f>
        <v>17.444444444444443</v>
      </c>
      <c r="AK6" s="140">
        <f>IFERROR((SUM(W6:W10)/COUNTIF(W6:W10,"&gt;0")),0)</f>
        <v>15.283333333333331</v>
      </c>
      <c r="AL6" s="140">
        <f>IFERROR((SUM(X6:X10)/COUNTIF(X6:X10,"&gt;0")),0)</f>
        <v>19.083333333333332</v>
      </c>
      <c r="AM6" s="140">
        <f t="shared" ref="AM6:AR6" si="1">IFERROR((SUM(Y6:Y10)/COUNTIF(Y6:Y10,"&gt;0")),0)</f>
        <v>21.611111111111111</v>
      </c>
      <c r="AN6" s="140">
        <f t="shared" si="1"/>
        <v>24</v>
      </c>
      <c r="AO6" s="140">
        <f t="shared" si="1"/>
        <v>0</v>
      </c>
      <c r="AP6" s="140">
        <f t="shared" si="1"/>
        <v>0</v>
      </c>
      <c r="AQ6" s="140">
        <f t="shared" si="1"/>
        <v>0</v>
      </c>
      <c r="AR6" s="140">
        <f t="shared" si="1"/>
        <v>0</v>
      </c>
      <c r="AS6" s="143">
        <f>IFERROR((SUM(AE6:AE10)/COUNTIF(AE6:AE10,"&gt;0")),0)</f>
        <v>0</v>
      </c>
      <c r="AT6" s="320">
        <v>3259</v>
      </c>
      <c r="AU6" s="308">
        <v>3257</v>
      </c>
      <c r="AV6" s="308">
        <v>3249</v>
      </c>
      <c r="AW6" s="308">
        <v>3258</v>
      </c>
      <c r="AX6" s="308">
        <v>3262</v>
      </c>
      <c r="AY6" s="308">
        <v>3262</v>
      </c>
      <c r="AZ6" s="308">
        <v>3278</v>
      </c>
      <c r="BA6" s="308"/>
      <c r="BB6" s="308"/>
      <c r="BC6" s="308"/>
      <c r="BD6" s="308"/>
      <c r="BE6" s="309"/>
      <c r="BF6" s="137">
        <f>IFERROR(((AH6*AT6)+(AH11*AT11)+(AH16*AT16))/(SUM(AT6:AT20)),0)</f>
        <v>23.545187566988211</v>
      </c>
      <c r="BG6" s="140">
        <f t="shared" ref="BG6:BQ6" si="2">IFERROR(((AI6*AU6)+(AI11*AU11)+(AI16*AU16))/SUM(AU6:AU20),0)</f>
        <v>20.11124216646413</v>
      </c>
      <c r="BH6" s="140">
        <f t="shared" si="2"/>
        <v>19.418584641858462</v>
      </c>
      <c r="BI6" s="140">
        <f t="shared" si="2"/>
        <v>17.895335339638862</v>
      </c>
      <c r="BJ6" s="140">
        <f t="shared" si="2"/>
        <v>20.542753466982827</v>
      </c>
      <c r="BK6" s="140">
        <f t="shared" si="2"/>
        <v>22.324181600955793</v>
      </c>
      <c r="BL6" s="140">
        <f t="shared" si="2"/>
        <v>24</v>
      </c>
      <c r="BM6" s="140">
        <f t="shared" si="2"/>
        <v>0</v>
      </c>
      <c r="BN6" s="140">
        <f t="shared" si="2"/>
        <v>0</v>
      </c>
      <c r="BO6" s="140">
        <f t="shared" si="2"/>
        <v>0</v>
      </c>
      <c r="BP6" s="140">
        <f t="shared" si="2"/>
        <v>0</v>
      </c>
      <c r="BQ6" s="143">
        <f t="shared" si="2"/>
        <v>0</v>
      </c>
      <c r="BR6" s="105">
        <f>SUM(AT6:AT20)</f>
        <v>4665</v>
      </c>
      <c r="BS6" s="298">
        <f t="shared" ref="BS6:CC6" si="3">SUM(AU6:AU20)</f>
        <v>4663</v>
      </c>
      <c r="BT6" s="298">
        <f t="shared" si="3"/>
        <v>4649</v>
      </c>
      <c r="BU6" s="298">
        <f t="shared" si="3"/>
        <v>4652</v>
      </c>
      <c r="BV6" s="298">
        <f>SUM(AX6:AX20)</f>
        <v>4639</v>
      </c>
      <c r="BW6" s="298">
        <f t="shared" si="3"/>
        <v>4650</v>
      </c>
      <c r="BX6" s="298">
        <f t="shared" si="3"/>
        <v>4668</v>
      </c>
      <c r="BY6" s="298">
        <f t="shared" si="3"/>
        <v>0</v>
      </c>
      <c r="BZ6" s="298">
        <f t="shared" si="3"/>
        <v>0</v>
      </c>
      <c r="CA6" s="298">
        <f t="shared" si="3"/>
        <v>0</v>
      </c>
      <c r="CB6" s="298">
        <f t="shared" si="3"/>
        <v>0</v>
      </c>
      <c r="CC6" s="316">
        <f t="shared" si="3"/>
        <v>0</v>
      </c>
      <c r="CD6" s="252">
        <f>IFERROR(((BF6*BR6)+(BG6*BS6)+(BH6*BT6)+(BI6*BU6)+(BJ6*BV6)+(BK6*BW6)+(BL6*BX6)+(BM6*BY6)+(BN6*BZ6)+(BO6*CA6)+(BP6*CB6)+(BQ6*CC6))/(SUM(BR6:CC20)),0)</f>
        <v>21.121966488676115</v>
      </c>
      <c r="CE6" s="176">
        <f>CD6</f>
        <v>21.121966488676115</v>
      </c>
      <c r="CF6" s="164">
        <f t="shared" ref="CF6:CQ6" si="4">IFERROR((((BF6*BR6)+(BF21*BR21)+(BF27*BR27)+(BF36*BR36)+(BF39*BR39)+(BF48*BR48)+(BF51*BR51))/SUM(BR6:BR53)),0)</f>
        <v>23.378294541652913</v>
      </c>
      <c r="CG6" s="167">
        <f t="shared" si="4"/>
        <v>19.726761331595345</v>
      </c>
      <c r="CH6" s="167">
        <f t="shared" si="4"/>
        <v>20.559500581202258</v>
      </c>
      <c r="CI6" s="167">
        <f t="shared" si="4"/>
        <v>21.629474123539229</v>
      </c>
      <c r="CJ6" s="167">
        <f t="shared" si="4"/>
        <v>22.666375630578191</v>
      </c>
      <c r="CK6" s="167">
        <f t="shared" si="4"/>
        <v>23.348394050041346</v>
      </c>
      <c r="CL6" s="167">
        <f t="shared" si="4"/>
        <v>24</v>
      </c>
      <c r="CM6" s="167">
        <f t="shared" si="4"/>
        <v>0</v>
      </c>
      <c r="CN6" s="167">
        <f t="shared" si="4"/>
        <v>0</v>
      </c>
      <c r="CO6" s="167">
        <f t="shared" si="4"/>
        <v>0</v>
      </c>
      <c r="CP6" s="167">
        <f t="shared" si="4"/>
        <v>0</v>
      </c>
      <c r="CQ6" s="170">
        <f t="shared" si="4"/>
        <v>0</v>
      </c>
      <c r="CR6" s="173">
        <f>BR6+BR21+BR27+BR36+BR39+BR48+BR51</f>
        <v>12116</v>
      </c>
      <c r="CS6" s="146">
        <f t="shared" ref="CS6:DB6" si="5">BS6+BS21+BS27+BS36+BS39+BS48+BS51</f>
        <v>12019</v>
      </c>
      <c r="CT6" s="146">
        <f>BT6+BT21+BT27+BT36+BT39+BT48+BT51</f>
        <v>12044</v>
      </c>
      <c r="CU6" s="146">
        <f t="shared" si="5"/>
        <v>11980</v>
      </c>
      <c r="CV6" s="146">
        <f t="shared" si="5"/>
        <v>12026</v>
      </c>
      <c r="CW6" s="146">
        <f t="shared" si="5"/>
        <v>11959</v>
      </c>
      <c r="CX6" s="146">
        <f t="shared" si="5"/>
        <v>12064</v>
      </c>
      <c r="CY6" s="146">
        <f t="shared" si="5"/>
        <v>0</v>
      </c>
      <c r="CZ6" s="146">
        <f t="shared" si="5"/>
        <v>0</v>
      </c>
      <c r="DA6" s="146">
        <f t="shared" si="5"/>
        <v>0</v>
      </c>
      <c r="DB6" s="146">
        <f t="shared" si="5"/>
        <v>0</v>
      </c>
      <c r="DC6" s="149">
        <f>CC6+CC21+CC27+CC36+CC39+CC48+CC51</f>
        <v>0</v>
      </c>
      <c r="DD6" s="152">
        <f>IFERROR((((CF6*CR6)+(CG6*CS6)+(CH6*CT6)+(CI6*CU6)+(CJ6*CV6)+(CK6*CW6)+(CL6*CX6)+(CM6*CY6)+(CN6*CZ6)+(CO6*DA6)+(CP6*DB6)+(CQ6*DC6))/SUM(CR6:DC53)),0)</f>
        <v>22.18829997017966</v>
      </c>
      <c r="DE6" s="137">
        <f>IFERROR(((CF6*CR6)+(CF54*CR54))/(SUM(CR6:CR113)),0)</f>
        <v>16.837447556961209</v>
      </c>
      <c r="DF6" s="140">
        <f t="shared" ref="DF6:DP6" si="6">IFERROR(((CG6*CS6)+(CG54*CS54))/(SUM(CS6:CS113)),0)</f>
        <v>14.955343821580572</v>
      </c>
      <c r="DG6" s="140">
        <f t="shared" si="6"/>
        <v>15.327731219073323</v>
      </c>
      <c r="DH6" s="140">
        <f t="shared" si="6"/>
        <v>14.765501578932325</v>
      </c>
      <c r="DI6" s="140">
        <f t="shared" si="6"/>
        <v>17.242026130733578</v>
      </c>
      <c r="DJ6" s="140">
        <f t="shared" si="6"/>
        <v>18.204526057969478</v>
      </c>
      <c r="DK6" s="140">
        <f t="shared" si="6"/>
        <v>18.917706062493512</v>
      </c>
      <c r="DL6" s="140">
        <f t="shared" si="6"/>
        <v>0</v>
      </c>
      <c r="DM6" s="140">
        <f t="shared" si="6"/>
        <v>0</v>
      </c>
      <c r="DN6" s="140">
        <f t="shared" si="6"/>
        <v>0</v>
      </c>
      <c r="DO6" s="140">
        <f t="shared" si="6"/>
        <v>0</v>
      </c>
      <c r="DP6" s="143">
        <f t="shared" si="6"/>
        <v>0</v>
      </c>
      <c r="DQ6" s="105">
        <f>CR6+CR54</f>
        <v>30986</v>
      </c>
      <c r="DR6" s="105">
        <f t="shared" ref="DR6:EB6" si="7">CS6+CS54</f>
        <v>30754</v>
      </c>
      <c r="DS6" s="105">
        <f t="shared" si="7"/>
        <v>30875</v>
      </c>
      <c r="DT6" s="105">
        <f t="shared" si="7"/>
        <v>31104</v>
      </c>
      <c r="DU6" s="105">
        <f t="shared" si="7"/>
        <v>31285</v>
      </c>
      <c r="DV6" s="105">
        <f t="shared" si="7"/>
        <v>31415</v>
      </c>
      <c r="DW6" s="105">
        <f t="shared" si="7"/>
        <v>32110</v>
      </c>
      <c r="DX6" s="105">
        <f t="shared" si="7"/>
        <v>0</v>
      </c>
      <c r="DY6" s="105">
        <f t="shared" si="7"/>
        <v>0</v>
      </c>
      <c r="DZ6" s="105">
        <f t="shared" si="7"/>
        <v>0</v>
      </c>
      <c r="EA6" s="105">
        <f t="shared" si="7"/>
        <v>0</v>
      </c>
      <c r="EB6" s="108">
        <f t="shared" si="7"/>
        <v>0</v>
      </c>
      <c r="EC6" s="131">
        <f>IFERROR(((DE6*DQ6)+(DF6*DR6)+(DG6*DS6)+(DH6*DT6)+(DI6*DU6)+(DJ6*DV6)+(DK6*DW6)+(DL6*DX6)+(DM6*DY6)+(DN6*DZ6)+(DO6*EA6)+(DP6*EB6))/(SUM(DQ6:EB113)),0)</f>
        <v>16.624480831682138</v>
      </c>
      <c r="EE6" s="113">
        <f>IF(EC6/AF6&gt;1,1,EC6/AF6)</f>
        <v>0.97791063715777282</v>
      </c>
      <c r="EF6" s="116">
        <f>IF(EC6/19&gt;1,1,EC6/19)</f>
        <v>0.87497267535169154</v>
      </c>
    </row>
    <row r="7" spans="1:136" ht="20.25" customHeight="1">
      <c r="A7" s="128"/>
      <c r="B7" s="128"/>
      <c r="C7" s="285"/>
      <c r="D7" s="287"/>
      <c r="E7" s="326"/>
      <c r="F7" s="2" t="s">
        <v>44</v>
      </c>
      <c r="G7" s="3" t="s">
        <v>28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  <c r="T7" s="48">
        <f>H7*24</f>
        <v>0</v>
      </c>
      <c r="U7" s="49">
        <f t="shared" si="0"/>
        <v>0</v>
      </c>
      <c r="V7" s="49">
        <f t="shared" si="0"/>
        <v>0</v>
      </c>
      <c r="W7" s="49">
        <f t="shared" si="0"/>
        <v>0</v>
      </c>
      <c r="X7" s="49">
        <f t="shared" si="0"/>
        <v>0</v>
      </c>
      <c r="Y7" s="49">
        <f t="shared" si="0"/>
        <v>0</v>
      </c>
      <c r="Z7" s="49">
        <f t="shared" si="0"/>
        <v>0</v>
      </c>
      <c r="AA7" s="49">
        <f t="shared" si="0"/>
        <v>0</v>
      </c>
      <c r="AB7" s="49">
        <f t="shared" si="0"/>
        <v>0</v>
      </c>
      <c r="AC7" s="49">
        <f t="shared" si="0"/>
        <v>0</v>
      </c>
      <c r="AD7" s="49">
        <f t="shared" si="0"/>
        <v>0</v>
      </c>
      <c r="AE7" s="50">
        <f t="shared" si="0"/>
        <v>0</v>
      </c>
      <c r="AF7" s="186"/>
      <c r="AG7" s="322"/>
      <c r="AH7" s="138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4"/>
      <c r="AT7" s="297"/>
      <c r="AU7" s="307"/>
      <c r="AV7" s="307"/>
      <c r="AW7" s="307"/>
      <c r="AX7" s="307"/>
      <c r="AY7" s="307"/>
      <c r="AZ7" s="307"/>
      <c r="BA7" s="307"/>
      <c r="BB7" s="307"/>
      <c r="BC7" s="307"/>
      <c r="BD7" s="307"/>
      <c r="BE7" s="301"/>
      <c r="BF7" s="138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4"/>
      <c r="BR7" s="106"/>
      <c r="BS7" s="299"/>
      <c r="BT7" s="299"/>
      <c r="BU7" s="299"/>
      <c r="BV7" s="299"/>
      <c r="BW7" s="299"/>
      <c r="BX7" s="299"/>
      <c r="BY7" s="299"/>
      <c r="BZ7" s="299"/>
      <c r="CA7" s="299"/>
      <c r="CB7" s="299"/>
      <c r="CC7" s="317"/>
      <c r="CD7" s="202"/>
      <c r="CE7" s="177"/>
      <c r="CF7" s="165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71"/>
      <c r="CR7" s="174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50"/>
      <c r="DD7" s="153"/>
      <c r="DE7" s="138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4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9"/>
      <c r="EC7" s="132"/>
      <c r="EE7" s="114"/>
      <c r="EF7" s="117"/>
    </row>
    <row r="8" spans="1:136" ht="20.25" customHeight="1">
      <c r="A8" s="128"/>
      <c r="B8" s="128"/>
      <c r="C8" s="285"/>
      <c r="D8" s="287"/>
      <c r="E8" s="326"/>
      <c r="F8" s="2" t="s">
        <v>46</v>
      </c>
      <c r="G8" s="3" t="s">
        <v>29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7"/>
      <c r="T8" s="48">
        <f t="shared" ref="T8:T71" si="8">H8*24</f>
        <v>0</v>
      </c>
      <c r="U8" s="49">
        <f t="shared" ref="U8:U71" si="9">I8*24</f>
        <v>0</v>
      </c>
      <c r="V8" s="49">
        <f t="shared" ref="V8:V71" si="10">J8*24</f>
        <v>0</v>
      </c>
      <c r="W8" s="49">
        <f t="shared" ref="W8:W71" si="11">K8*24</f>
        <v>0</v>
      </c>
      <c r="X8" s="49">
        <f t="shared" ref="X8:X71" si="12">L8*24</f>
        <v>0</v>
      </c>
      <c r="Y8" s="49">
        <f t="shared" ref="Y8:Z71" si="13">M8*24</f>
        <v>0</v>
      </c>
      <c r="Z8" s="49">
        <f t="shared" ref="Z8:Z71" si="14">N8*24</f>
        <v>0</v>
      </c>
      <c r="AA8" s="49">
        <f t="shared" ref="AA8:AA71" si="15">O8*24</f>
        <v>0</v>
      </c>
      <c r="AB8" s="49">
        <f t="shared" ref="AB8:AB71" si="16">P8*24</f>
        <v>0</v>
      </c>
      <c r="AC8" s="49">
        <f t="shared" ref="AC8:AC71" si="17">Q8*24</f>
        <v>0</v>
      </c>
      <c r="AD8" s="49">
        <f t="shared" ref="AD8:AD71" si="18">R8*24</f>
        <v>0</v>
      </c>
      <c r="AE8" s="50">
        <f t="shared" ref="AE8:AE71" si="19">S8*24</f>
        <v>0</v>
      </c>
      <c r="AF8" s="186"/>
      <c r="AG8" s="322"/>
      <c r="AH8" s="138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4"/>
      <c r="AT8" s="297"/>
      <c r="AU8" s="307"/>
      <c r="AV8" s="307"/>
      <c r="AW8" s="307"/>
      <c r="AX8" s="307"/>
      <c r="AY8" s="307"/>
      <c r="AZ8" s="307"/>
      <c r="BA8" s="307"/>
      <c r="BB8" s="307"/>
      <c r="BC8" s="307"/>
      <c r="BD8" s="307"/>
      <c r="BE8" s="301"/>
      <c r="BF8" s="138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4"/>
      <c r="BR8" s="106"/>
      <c r="BS8" s="299"/>
      <c r="BT8" s="299"/>
      <c r="BU8" s="299"/>
      <c r="BV8" s="299"/>
      <c r="BW8" s="299"/>
      <c r="BX8" s="299"/>
      <c r="BY8" s="299"/>
      <c r="BZ8" s="299"/>
      <c r="CA8" s="299"/>
      <c r="CB8" s="299"/>
      <c r="CC8" s="317"/>
      <c r="CD8" s="202"/>
      <c r="CE8" s="177"/>
      <c r="CF8" s="165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71"/>
      <c r="CR8" s="174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50"/>
      <c r="DD8" s="153"/>
      <c r="DE8" s="138"/>
      <c r="DF8" s="141"/>
      <c r="DG8" s="141"/>
      <c r="DH8" s="141"/>
      <c r="DI8" s="141"/>
      <c r="DJ8" s="141"/>
      <c r="DK8" s="141"/>
      <c r="DL8" s="141"/>
      <c r="DM8" s="141"/>
      <c r="DN8" s="141"/>
      <c r="DO8" s="141"/>
      <c r="DP8" s="144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9"/>
      <c r="EC8" s="132"/>
      <c r="EE8" s="114"/>
      <c r="EF8" s="117"/>
    </row>
    <row r="9" spans="1:136" ht="20.25" customHeight="1">
      <c r="A9" s="128"/>
      <c r="B9" s="128"/>
      <c r="C9" s="285"/>
      <c r="D9" s="287"/>
      <c r="E9" s="326"/>
      <c r="F9" s="76" t="s">
        <v>45</v>
      </c>
      <c r="G9" s="77" t="s">
        <v>30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7"/>
      <c r="T9" s="48">
        <f t="shared" si="8"/>
        <v>0</v>
      </c>
      <c r="U9" s="49">
        <f t="shared" si="9"/>
        <v>0</v>
      </c>
      <c r="V9" s="49">
        <f t="shared" si="10"/>
        <v>0</v>
      </c>
      <c r="W9" s="49">
        <f t="shared" si="11"/>
        <v>0</v>
      </c>
      <c r="X9" s="49">
        <f t="shared" si="12"/>
        <v>0</v>
      </c>
      <c r="Y9" s="49">
        <f t="shared" si="13"/>
        <v>0</v>
      </c>
      <c r="Z9" s="49">
        <f t="shared" si="14"/>
        <v>0</v>
      </c>
      <c r="AA9" s="49">
        <f t="shared" si="15"/>
        <v>0</v>
      </c>
      <c r="AB9" s="49">
        <f t="shared" si="16"/>
        <v>0</v>
      </c>
      <c r="AC9" s="49">
        <f t="shared" si="17"/>
        <v>0</v>
      </c>
      <c r="AD9" s="49">
        <f t="shared" si="18"/>
        <v>0</v>
      </c>
      <c r="AE9" s="50">
        <f t="shared" si="19"/>
        <v>0</v>
      </c>
      <c r="AF9" s="186"/>
      <c r="AG9" s="322"/>
      <c r="AH9" s="138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4"/>
      <c r="AT9" s="297"/>
      <c r="AU9" s="307"/>
      <c r="AV9" s="307"/>
      <c r="AW9" s="307"/>
      <c r="AX9" s="307"/>
      <c r="AY9" s="307"/>
      <c r="AZ9" s="307"/>
      <c r="BA9" s="307"/>
      <c r="BB9" s="307"/>
      <c r="BC9" s="307"/>
      <c r="BD9" s="307"/>
      <c r="BE9" s="301"/>
      <c r="BF9" s="138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4"/>
      <c r="BR9" s="106"/>
      <c r="BS9" s="299"/>
      <c r="BT9" s="299"/>
      <c r="BU9" s="299"/>
      <c r="BV9" s="299"/>
      <c r="BW9" s="299"/>
      <c r="BX9" s="299"/>
      <c r="BY9" s="299"/>
      <c r="BZ9" s="299"/>
      <c r="CA9" s="299"/>
      <c r="CB9" s="299"/>
      <c r="CC9" s="317"/>
      <c r="CD9" s="202"/>
      <c r="CE9" s="177"/>
      <c r="CF9" s="165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71"/>
      <c r="CR9" s="174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50"/>
      <c r="DD9" s="153"/>
      <c r="DE9" s="138"/>
      <c r="DF9" s="141"/>
      <c r="DG9" s="141"/>
      <c r="DH9" s="141"/>
      <c r="DI9" s="141"/>
      <c r="DJ9" s="141"/>
      <c r="DK9" s="141"/>
      <c r="DL9" s="141"/>
      <c r="DM9" s="141"/>
      <c r="DN9" s="141"/>
      <c r="DO9" s="141"/>
      <c r="DP9" s="144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9"/>
      <c r="EC9" s="132"/>
      <c r="EE9" s="114"/>
      <c r="EF9" s="117"/>
    </row>
    <row r="10" spans="1:136" ht="20.25" customHeight="1">
      <c r="A10" s="128"/>
      <c r="B10" s="128"/>
      <c r="C10" s="285"/>
      <c r="D10" s="287"/>
      <c r="E10" s="326"/>
      <c r="F10" s="2" t="s">
        <v>47</v>
      </c>
      <c r="G10" s="3" t="s">
        <v>31</v>
      </c>
      <c r="H10" s="46">
        <v>0.99027777777777781</v>
      </c>
      <c r="I10" s="46">
        <v>0.82754629629629628</v>
      </c>
      <c r="J10" s="46">
        <v>0.72685185185185175</v>
      </c>
      <c r="K10" s="46">
        <v>0.63680555555555551</v>
      </c>
      <c r="L10" s="46">
        <v>0.79513888888888884</v>
      </c>
      <c r="M10" s="46">
        <v>0.90046296296296291</v>
      </c>
      <c r="N10" s="46">
        <v>1</v>
      </c>
      <c r="O10" s="46"/>
      <c r="P10" s="46"/>
      <c r="Q10" s="46"/>
      <c r="R10" s="46"/>
      <c r="S10" s="47"/>
      <c r="T10" s="48">
        <f t="shared" si="8"/>
        <v>23.766666666666666</v>
      </c>
      <c r="U10" s="49">
        <f t="shared" si="9"/>
        <v>19.861111111111111</v>
      </c>
      <c r="V10" s="49">
        <f t="shared" si="10"/>
        <v>17.444444444444443</v>
      </c>
      <c r="W10" s="49">
        <f t="shared" si="11"/>
        <v>15.283333333333331</v>
      </c>
      <c r="X10" s="49">
        <f t="shared" si="12"/>
        <v>19.083333333333332</v>
      </c>
      <c r="Y10" s="49">
        <f t="shared" si="13"/>
        <v>21.611111111111111</v>
      </c>
      <c r="Z10" s="49">
        <f t="shared" si="14"/>
        <v>24</v>
      </c>
      <c r="AA10" s="49">
        <f t="shared" si="15"/>
        <v>0</v>
      </c>
      <c r="AB10" s="49">
        <f t="shared" si="16"/>
        <v>0</v>
      </c>
      <c r="AC10" s="49">
        <f t="shared" si="17"/>
        <v>0</v>
      </c>
      <c r="AD10" s="49">
        <f t="shared" si="18"/>
        <v>0</v>
      </c>
      <c r="AE10" s="50">
        <f t="shared" si="19"/>
        <v>0</v>
      </c>
      <c r="AF10" s="186"/>
      <c r="AG10" s="322"/>
      <c r="AH10" s="138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4"/>
      <c r="AT10" s="297"/>
      <c r="AU10" s="307"/>
      <c r="AV10" s="307"/>
      <c r="AW10" s="307"/>
      <c r="AX10" s="307"/>
      <c r="AY10" s="307"/>
      <c r="AZ10" s="307"/>
      <c r="BA10" s="307"/>
      <c r="BB10" s="307"/>
      <c r="BC10" s="307"/>
      <c r="BD10" s="307"/>
      <c r="BE10" s="301"/>
      <c r="BF10" s="138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4"/>
      <c r="BR10" s="106"/>
      <c r="BS10" s="299"/>
      <c r="BT10" s="299"/>
      <c r="BU10" s="299"/>
      <c r="BV10" s="299"/>
      <c r="BW10" s="299"/>
      <c r="BX10" s="299"/>
      <c r="BY10" s="299"/>
      <c r="BZ10" s="299"/>
      <c r="CA10" s="299"/>
      <c r="CB10" s="299"/>
      <c r="CC10" s="317"/>
      <c r="CD10" s="202"/>
      <c r="CE10" s="177"/>
      <c r="CF10" s="165"/>
      <c r="CG10" s="168"/>
      <c r="CH10" s="168"/>
      <c r="CI10" s="168"/>
      <c r="CJ10" s="168"/>
      <c r="CK10" s="168"/>
      <c r="CL10" s="168"/>
      <c r="CM10" s="168"/>
      <c r="CN10" s="168"/>
      <c r="CO10" s="168"/>
      <c r="CP10" s="168"/>
      <c r="CQ10" s="171"/>
      <c r="CR10" s="174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50"/>
      <c r="DD10" s="153"/>
      <c r="DE10" s="138"/>
      <c r="DF10" s="141"/>
      <c r="DG10" s="141"/>
      <c r="DH10" s="141"/>
      <c r="DI10" s="141"/>
      <c r="DJ10" s="141"/>
      <c r="DK10" s="141"/>
      <c r="DL10" s="141"/>
      <c r="DM10" s="141"/>
      <c r="DN10" s="141"/>
      <c r="DO10" s="141"/>
      <c r="DP10" s="144"/>
      <c r="DQ10" s="106"/>
      <c r="DR10" s="106"/>
      <c r="DS10" s="106"/>
      <c r="DT10" s="106"/>
      <c r="DU10" s="106"/>
      <c r="DV10" s="106"/>
      <c r="DW10" s="106"/>
      <c r="DX10" s="106"/>
      <c r="DY10" s="106"/>
      <c r="DZ10" s="106"/>
      <c r="EA10" s="106"/>
      <c r="EB10" s="109"/>
      <c r="EC10" s="132"/>
      <c r="EE10" s="114"/>
      <c r="EF10" s="117"/>
    </row>
    <row r="11" spans="1:136" ht="20.25" customHeight="1">
      <c r="A11" s="128"/>
      <c r="B11" s="128"/>
      <c r="C11" s="285"/>
      <c r="D11" s="287"/>
      <c r="E11" s="315" t="s">
        <v>5</v>
      </c>
      <c r="F11" s="2" t="s">
        <v>48</v>
      </c>
      <c r="G11" s="3" t="s">
        <v>33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7"/>
      <c r="T11" s="48">
        <f t="shared" si="8"/>
        <v>0</v>
      </c>
      <c r="U11" s="49">
        <f t="shared" si="9"/>
        <v>0</v>
      </c>
      <c r="V11" s="49">
        <f t="shared" si="10"/>
        <v>0</v>
      </c>
      <c r="W11" s="49">
        <f t="shared" si="11"/>
        <v>0</v>
      </c>
      <c r="X11" s="49">
        <f t="shared" si="12"/>
        <v>0</v>
      </c>
      <c r="Y11" s="49">
        <f t="shared" si="13"/>
        <v>0</v>
      </c>
      <c r="Z11" s="49">
        <f t="shared" si="14"/>
        <v>0</v>
      </c>
      <c r="AA11" s="49">
        <f t="shared" si="15"/>
        <v>0</v>
      </c>
      <c r="AB11" s="49">
        <f t="shared" si="16"/>
        <v>0</v>
      </c>
      <c r="AC11" s="49">
        <f t="shared" si="17"/>
        <v>0</v>
      </c>
      <c r="AD11" s="49">
        <f t="shared" si="18"/>
        <v>0</v>
      </c>
      <c r="AE11" s="50">
        <f t="shared" si="19"/>
        <v>0</v>
      </c>
      <c r="AF11" s="186"/>
      <c r="AG11" s="322"/>
      <c r="AH11" s="138">
        <f>IFERROR((SUM(T11:T15)/COUNTIF(T11:T15,"&gt;0")),0)</f>
        <v>22.466666666666669</v>
      </c>
      <c r="AI11" s="141">
        <f t="shared" ref="AI11:AS11" si="20">IFERROR((SUM(U11:U15)/COUNTIF(U11:U15,"&gt;0")),0)</f>
        <v>22.555555555555557</v>
      </c>
      <c r="AJ11" s="141">
        <f t="shared" si="20"/>
        <v>24</v>
      </c>
      <c r="AK11" s="141">
        <f t="shared" si="20"/>
        <v>24</v>
      </c>
      <c r="AL11" s="141">
        <f t="shared" si="20"/>
        <v>24</v>
      </c>
      <c r="AM11" s="141">
        <f t="shared" si="20"/>
        <v>24</v>
      </c>
      <c r="AN11" s="141">
        <f t="shared" si="20"/>
        <v>24</v>
      </c>
      <c r="AO11" s="141">
        <f t="shared" si="20"/>
        <v>0</v>
      </c>
      <c r="AP11" s="141">
        <f t="shared" si="20"/>
        <v>0</v>
      </c>
      <c r="AQ11" s="141">
        <f t="shared" si="20"/>
        <v>0</v>
      </c>
      <c r="AR11" s="141">
        <f t="shared" si="20"/>
        <v>0</v>
      </c>
      <c r="AS11" s="144">
        <f t="shared" si="20"/>
        <v>0</v>
      </c>
      <c r="AT11" s="297">
        <v>858</v>
      </c>
      <c r="AU11" s="307">
        <v>858</v>
      </c>
      <c r="AV11" s="307">
        <v>857</v>
      </c>
      <c r="AW11" s="307">
        <v>855</v>
      </c>
      <c r="AX11" s="307">
        <v>849</v>
      </c>
      <c r="AY11" s="307">
        <v>859</v>
      </c>
      <c r="AZ11" s="307">
        <v>855</v>
      </c>
      <c r="BA11" s="307"/>
      <c r="BB11" s="307"/>
      <c r="BC11" s="307"/>
      <c r="BD11" s="307"/>
      <c r="BE11" s="301"/>
      <c r="BF11" s="138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4"/>
      <c r="BR11" s="106"/>
      <c r="BS11" s="299"/>
      <c r="BT11" s="299"/>
      <c r="BU11" s="299"/>
      <c r="BV11" s="299"/>
      <c r="BW11" s="299"/>
      <c r="BX11" s="299"/>
      <c r="BY11" s="299"/>
      <c r="BZ11" s="299"/>
      <c r="CA11" s="299"/>
      <c r="CB11" s="299"/>
      <c r="CC11" s="317"/>
      <c r="CD11" s="202"/>
      <c r="CE11" s="177"/>
      <c r="CF11" s="165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71"/>
      <c r="CR11" s="174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50"/>
      <c r="DD11" s="153"/>
      <c r="DE11" s="138"/>
      <c r="DF11" s="141"/>
      <c r="DG11" s="141"/>
      <c r="DH11" s="141"/>
      <c r="DI11" s="141"/>
      <c r="DJ11" s="141"/>
      <c r="DK11" s="141"/>
      <c r="DL11" s="141"/>
      <c r="DM11" s="141"/>
      <c r="DN11" s="141"/>
      <c r="DO11" s="141"/>
      <c r="DP11" s="144"/>
      <c r="DQ11" s="106"/>
      <c r="DR11" s="106"/>
      <c r="DS11" s="106"/>
      <c r="DT11" s="106"/>
      <c r="DU11" s="106"/>
      <c r="DV11" s="106"/>
      <c r="DW11" s="106"/>
      <c r="DX11" s="106"/>
      <c r="DY11" s="106"/>
      <c r="DZ11" s="106"/>
      <c r="EA11" s="106"/>
      <c r="EB11" s="109"/>
      <c r="EC11" s="132"/>
      <c r="EE11" s="114"/>
      <c r="EF11" s="117"/>
    </row>
    <row r="12" spans="1:136" ht="20.25" customHeight="1">
      <c r="A12" s="128"/>
      <c r="B12" s="128"/>
      <c r="C12" s="285"/>
      <c r="D12" s="287"/>
      <c r="E12" s="315"/>
      <c r="F12" s="2" t="s">
        <v>49</v>
      </c>
      <c r="G12" s="3" t="s">
        <v>34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48">
        <f t="shared" si="8"/>
        <v>0</v>
      </c>
      <c r="U12" s="49">
        <f t="shared" si="9"/>
        <v>0</v>
      </c>
      <c r="V12" s="49">
        <f t="shared" si="10"/>
        <v>0</v>
      </c>
      <c r="W12" s="49">
        <f t="shared" si="11"/>
        <v>0</v>
      </c>
      <c r="X12" s="49">
        <f t="shared" si="12"/>
        <v>0</v>
      </c>
      <c r="Y12" s="49">
        <f t="shared" si="13"/>
        <v>0</v>
      </c>
      <c r="Z12" s="49">
        <f t="shared" si="14"/>
        <v>0</v>
      </c>
      <c r="AA12" s="49">
        <f t="shared" si="15"/>
        <v>0</v>
      </c>
      <c r="AB12" s="49">
        <f t="shared" si="16"/>
        <v>0</v>
      </c>
      <c r="AC12" s="49">
        <f t="shared" si="17"/>
        <v>0</v>
      </c>
      <c r="AD12" s="49">
        <f t="shared" si="18"/>
        <v>0</v>
      </c>
      <c r="AE12" s="50">
        <f t="shared" si="19"/>
        <v>0</v>
      </c>
      <c r="AF12" s="186"/>
      <c r="AG12" s="322"/>
      <c r="AH12" s="138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4"/>
      <c r="AT12" s="29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1"/>
      <c r="BF12" s="138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4"/>
      <c r="BR12" s="106"/>
      <c r="BS12" s="299"/>
      <c r="BT12" s="299"/>
      <c r="BU12" s="299"/>
      <c r="BV12" s="299"/>
      <c r="BW12" s="299"/>
      <c r="BX12" s="299"/>
      <c r="BY12" s="299"/>
      <c r="BZ12" s="299"/>
      <c r="CA12" s="299"/>
      <c r="CB12" s="299"/>
      <c r="CC12" s="317"/>
      <c r="CD12" s="202"/>
      <c r="CE12" s="177"/>
      <c r="CF12" s="165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71"/>
      <c r="CR12" s="174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50"/>
      <c r="DD12" s="153"/>
      <c r="DE12" s="138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4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9"/>
      <c r="EC12" s="132"/>
      <c r="EE12" s="114"/>
      <c r="EF12" s="117"/>
    </row>
    <row r="13" spans="1:136" ht="20.25" customHeight="1">
      <c r="A13" s="128"/>
      <c r="B13" s="128"/>
      <c r="C13" s="285"/>
      <c r="D13" s="287"/>
      <c r="E13" s="315"/>
      <c r="F13" s="2" t="s">
        <v>50</v>
      </c>
      <c r="G13" s="3" t="s">
        <v>35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f t="shared" si="8"/>
        <v>0</v>
      </c>
      <c r="U13" s="49">
        <f t="shared" si="9"/>
        <v>0</v>
      </c>
      <c r="V13" s="49">
        <f t="shared" si="10"/>
        <v>0</v>
      </c>
      <c r="W13" s="49">
        <f t="shared" si="11"/>
        <v>0</v>
      </c>
      <c r="X13" s="49">
        <f t="shared" si="12"/>
        <v>0</v>
      </c>
      <c r="Y13" s="49">
        <f t="shared" si="13"/>
        <v>0</v>
      </c>
      <c r="Z13" s="49">
        <f t="shared" si="14"/>
        <v>0</v>
      </c>
      <c r="AA13" s="49">
        <f t="shared" si="15"/>
        <v>0</v>
      </c>
      <c r="AB13" s="49">
        <f t="shared" si="16"/>
        <v>0</v>
      </c>
      <c r="AC13" s="49">
        <f t="shared" si="17"/>
        <v>0</v>
      </c>
      <c r="AD13" s="49">
        <f t="shared" si="18"/>
        <v>0</v>
      </c>
      <c r="AE13" s="50">
        <f t="shared" si="19"/>
        <v>0</v>
      </c>
      <c r="AF13" s="186"/>
      <c r="AG13" s="322"/>
      <c r="AH13" s="138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4"/>
      <c r="AT13" s="29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1"/>
      <c r="BF13" s="138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4"/>
      <c r="BR13" s="106"/>
      <c r="BS13" s="299"/>
      <c r="BT13" s="299"/>
      <c r="BU13" s="299"/>
      <c r="BV13" s="299"/>
      <c r="BW13" s="299"/>
      <c r="BX13" s="299"/>
      <c r="BY13" s="299"/>
      <c r="BZ13" s="299"/>
      <c r="CA13" s="299"/>
      <c r="CB13" s="299"/>
      <c r="CC13" s="317"/>
      <c r="CD13" s="202"/>
      <c r="CE13" s="177"/>
      <c r="CF13" s="165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71"/>
      <c r="CR13" s="174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50"/>
      <c r="DD13" s="153"/>
      <c r="DE13" s="138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4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9"/>
      <c r="EC13" s="132"/>
      <c r="EE13" s="114"/>
      <c r="EF13" s="117"/>
    </row>
    <row r="14" spans="1:136" ht="20.25" customHeight="1">
      <c r="A14" s="128"/>
      <c r="B14" s="128"/>
      <c r="C14" s="285"/>
      <c r="D14" s="287"/>
      <c r="E14" s="315"/>
      <c r="F14" s="2" t="s">
        <v>51</v>
      </c>
      <c r="G14" s="3" t="s">
        <v>36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f t="shared" si="8"/>
        <v>0</v>
      </c>
      <c r="U14" s="49">
        <f t="shared" si="9"/>
        <v>0</v>
      </c>
      <c r="V14" s="49">
        <f t="shared" si="10"/>
        <v>0</v>
      </c>
      <c r="W14" s="49">
        <f t="shared" si="11"/>
        <v>0</v>
      </c>
      <c r="X14" s="49">
        <f t="shared" si="12"/>
        <v>0</v>
      </c>
      <c r="Y14" s="49">
        <f t="shared" si="13"/>
        <v>0</v>
      </c>
      <c r="Z14" s="49">
        <f t="shared" si="14"/>
        <v>0</v>
      </c>
      <c r="AA14" s="49">
        <f t="shared" si="15"/>
        <v>0</v>
      </c>
      <c r="AB14" s="49">
        <f t="shared" si="16"/>
        <v>0</v>
      </c>
      <c r="AC14" s="49">
        <f t="shared" si="17"/>
        <v>0</v>
      </c>
      <c r="AD14" s="49">
        <f t="shared" si="18"/>
        <v>0</v>
      </c>
      <c r="AE14" s="50">
        <f t="shared" si="19"/>
        <v>0</v>
      </c>
      <c r="AF14" s="186"/>
      <c r="AG14" s="322"/>
      <c r="AH14" s="138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4"/>
      <c r="AT14" s="29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1"/>
      <c r="BF14" s="138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4"/>
      <c r="BR14" s="106"/>
      <c r="BS14" s="299"/>
      <c r="BT14" s="299"/>
      <c r="BU14" s="299"/>
      <c r="BV14" s="299"/>
      <c r="BW14" s="299"/>
      <c r="BX14" s="299"/>
      <c r="BY14" s="299"/>
      <c r="BZ14" s="299"/>
      <c r="CA14" s="299"/>
      <c r="CB14" s="299"/>
      <c r="CC14" s="317"/>
      <c r="CD14" s="202"/>
      <c r="CE14" s="177"/>
      <c r="CF14" s="165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71"/>
      <c r="CR14" s="174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50"/>
      <c r="DD14" s="153"/>
      <c r="DE14" s="138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4"/>
      <c r="DQ14" s="106"/>
      <c r="DR14" s="106"/>
      <c r="DS14" s="106"/>
      <c r="DT14" s="106"/>
      <c r="DU14" s="106"/>
      <c r="DV14" s="106"/>
      <c r="DW14" s="106"/>
      <c r="DX14" s="106"/>
      <c r="DY14" s="106"/>
      <c r="DZ14" s="106"/>
      <c r="EA14" s="106"/>
      <c r="EB14" s="109"/>
      <c r="EC14" s="132"/>
      <c r="EE14" s="114"/>
      <c r="EF14" s="117"/>
    </row>
    <row r="15" spans="1:136" ht="20.25" customHeight="1">
      <c r="A15" s="128"/>
      <c r="B15" s="128"/>
      <c r="C15" s="285"/>
      <c r="D15" s="287"/>
      <c r="E15" s="315"/>
      <c r="F15" s="76" t="s">
        <v>52</v>
      </c>
      <c r="G15" s="77" t="s">
        <v>37</v>
      </c>
      <c r="H15" s="46">
        <v>0.93611111111111112</v>
      </c>
      <c r="I15" s="46">
        <v>0.93981481481481488</v>
      </c>
      <c r="J15" s="46">
        <v>1</v>
      </c>
      <c r="K15" s="46">
        <v>1</v>
      </c>
      <c r="L15" s="46">
        <v>1</v>
      </c>
      <c r="M15" s="46">
        <v>1</v>
      </c>
      <c r="N15" s="46">
        <v>1</v>
      </c>
      <c r="O15" s="46"/>
      <c r="P15" s="46"/>
      <c r="Q15" s="46"/>
      <c r="R15" s="46"/>
      <c r="S15" s="47"/>
      <c r="T15" s="48">
        <f t="shared" si="8"/>
        <v>22.466666666666669</v>
      </c>
      <c r="U15" s="49">
        <f t="shared" si="9"/>
        <v>22.555555555555557</v>
      </c>
      <c r="V15" s="49">
        <f t="shared" si="10"/>
        <v>24</v>
      </c>
      <c r="W15" s="49">
        <f t="shared" si="11"/>
        <v>24</v>
      </c>
      <c r="X15" s="49">
        <f t="shared" si="12"/>
        <v>24</v>
      </c>
      <c r="Y15" s="49">
        <f t="shared" si="13"/>
        <v>24</v>
      </c>
      <c r="Z15" s="49">
        <f t="shared" si="14"/>
        <v>24</v>
      </c>
      <c r="AA15" s="49">
        <f t="shared" si="15"/>
        <v>0</v>
      </c>
      <c r="AB15" s="49">
        <f t="shared" si="16"/>
        <v>0</v>
      </c>
      <c r="AC15" s="49">
        <f t="shared" si="17"/>
        <v>0</v>
      </c>
      <c r="AD15" s="49">
        <f t="shared" si="18"/>
        <v>0</v>
      </c>
      <c r="AE15" s="50">
        <f t="shared" si="19"/>
        <v>0</v>
      </c>
      <c r="AF15" s="186"/>
      <c r="AG15" s="322"/>
      <c r="AH15" s="138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4"/>
      <c r="AT15" s="29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1"/>
      <c r="BF15" s="138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4"/>
      <c r="BR15" s="106"/>
      <c r="BS15" s="299"/>
      <c r="BT15" s="299"/>
      <c r="BU15" s="299"/>
      <c r="BV15" s="299"/>
      <c r="BW15" s="299"/>
      <c r="BX15" s="299"/>
      <c r="BY15" s="299"/>
      <c r="BZ15" s="299"/>
      <c r="CA15" s="299"/>
      <c r="CB15" s="299"/>
      <c r="CC15" s="317"/>
      <c r="CD15" s="202"/>
      <c r="CE15" s="177"/>
      <c r="CF15" s="165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71"/>
      <c r="CR15" s="174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50"/>
      <c r="DD15" s="153"/>
      <c r="DE15" s="138"/>
      <c r="DF15" s="141"/>
      <c r="DG15" s="141"/>
      <c r="DH15" s="141"/>
      <c r="DI15" s="141"/>
      <c r="DJ15" s="141"/>
      <c r="DK15" s="141"/>
      <c r="DL15" s="141"/>
      <c r="DM15" s="141"/>
      <c r="DN15" s="141"/>
      <c r="DO15" s="141"/>
      <c r="DP15" s="144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9"/>
      <c r="EC15" s="132"/>
      <c r="EE15" s="114"/>
      <c r="EF15" s="117"/>
    </row>
    <row r="16" spans="1:136" ht="20.25" customHeight="1">
      <c r="A16" s="128"/>
      <c r="B16" s="128"/>
      <c r="C16" s="285"/>
      <c r="D16" s="287"/>
      <c r="E16" s="312" t="s">
        <v>6</v>
      </c>
      <c r="F16" s="2" t="s">
        <v>53</v>
      </c>
      <c r="G16" s="3" t="s">
        <v>38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f t="shared" si="8"/>
        <v>0</v>
      </c>
      <c r="U16" s="49">
        <f t="shared" si="9"/>
        <v>0</v>
      </c>
      <c r="V16" s="49">
        <f t="shared" si="10"/>
        <v>0</v>
      </c>
      <c r="W16" s="49">
        <f t="shared" si="11"/>
        <v>0</v>
      </c>
      <c r="X16" s="49">
        <f t="shared" si="12"/>
        <v>0</v>
      </c>
      <c r="Y16" s="49">
        <f t="shared" si="13"/>
        <v>0</v>
      </c>
      <c r="Z16" s="49">
        <f t="shared" si="14"/>
        <v>0</v>
      </c>
      <c r="AA16" s="49">
        <f t="shared" si="15"/>
        <v>0</v>
      </c>
      <c r="AB16" s="49">
        <f t="shared" si="16"/>
        <v>0</v>
      </c>
      <c r="AC16" s="49">
        <f t="shared" si="17"/>
        <v>0</v>
      </c>
      <c r="AD16" s="49">
        <f t="shared" si="18"/>
        <v>0</v>
      </c>
      <c r="AE16" s="50">
        <f t="shared" si="19"/>
        <v>0</v>
      </c>
      <c r="AF16" s="186"/>
      <c r="AG16" s="322"/>
      <c r="AH16" s="138">
        <f>IFERROR((SUM(T16:T20)/COUNTIF(T16:T20,"&gt;0")),0)</f>
        <v>23.916666666666668</v>
      </c>
      <c r="AI16" s="141">
        <f t="shared" ref="AI16:AR16" si="21">IFERROR((SUM(U16:U20)/COUNTIF(U16:U20,"&gt;0")),0)</f>
        <v>17.770833333333332</v>
      </c>
      <c r="AJ16" s="141">
        <f t="shared" si="21"/>
        <v>24</v>
      </c>
      <c r="AK16" s="141">
        <f t="shared" si="21"/>
        <v>24</v>
      </c>
      <c r="AL16" s="141">
        <f t="shared" si="21"/>
        <v>24</v>
      </c>
      <c r="AM16" s="141">
        <f t="shared" si="21"/>
        <v>24</v>
      </c>
      <c r="AN16" s="141">
        <f t="shared" si="21"/>
        <v>24</v>
      </c>
      <c r="AO16" s="141">
        <f t="shared" si="21"/>
        <v>0</v>
      </c>
      <c r="AP16" s="141">
        <f t="shared" si="21"/>
        <v>0</v>
      </c>
      <c r="AQ16" s="141">
        <f t="shared" si="21"/>
        <v>0</v>
      </c>
      <c r="AR16" s="141">
        <f t="shared" si="21"/>
        <v>0</v>
      </c>
      <c r="AS16" s="144">
        <f>IFERROR((SUM(AE16:AE20)/COUNTIF(AE16:AE20,"&gt;0")),0)</f>
        <v>0</v>
      </c>
      <c r="AT16" s="310">
        <v>548</v>
      </c>
      <c r="AU16" s="290">
        <v>548</v>
      </c>
      <c r="AV16" s="290">
        <v>543</v>
      </c>
      <c r="AW16" s="290">
        <v>539</v>
      </c>
      <c r="AX16" s="290">
        <v>528</v>
      </c>
      <c r="AY16" s="290">
        <v>529</v>
      </c>
      <c r="AZ16" s="290">
        <v>535</v>
      </c>
      <c r="BA16" s="290"/>
      <c r="BB16" s="290"/>
      <c r="BC16" s="290"/>
      <c r="BD16" s="290"/>
      <c r="BE16" s="295"/>
      <c r="BF16" s="138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4"/>
      <c r="BR16" s="106"/>
      <c r="BS16" s="299"/>
      <c r="BT16" s="299"/>
      <c r="BU16" s="299"/>
      <c r="BV16" s="299"/>
      <c r="BW16" s="299"/>
      <c r="BX16" s="299"/>
      <c r="BY16" s="299"/>
      <c r="BZ16" s="299"/>
      <c r="CA16" s="299"/>
      <c r="CB16" s="299"/>
      <c r="CC16" s="317"/>
      <c r="CD16" s="202"/>
      <c r="CE16" s="177"/>
      <c r="CF16" s="165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71"/>
      <c r="CR16" s="174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50"/>
      <c r="DD16" s="153"/>
      <c r="DE16" s="138"/>
      <c r="DF16" s="141"/>
      <c r="DG16" s="141"/>
      <c r="DH16" s="141"/>
      <c r="DI16" s="141"/>
      <c r="DJ16" s="141"/>
      <c r="DK16" s="141"/>
      <c r="DL16" s="141"/>
      <c r="DM16" s="141"/>
      <c r="DN16" s="141"/>
      <c r="DO16" s="141"/>
      <c r="DP16" s="144"/>
      <c r="DQ16" s="106"/>
      <c r="DR16" s="106"/>
      <c r="DS16" s="106"/>
      <c r="DT16" s="106"/>
      <c r="DU16" s="106"/>
      <c r="DV16" s="106"/>
      <c r="DW16" s="106"/>
      <c r="DX16" s="106"/>
      <c r="DY16" s="106"/>
      <c r="DZ16" s="106"/>
      <c r="EA16" s="106"/>
      <c r="EB16" s="109"/>
      <c r="EC16" s="132"/>
      <c r="EE16" s="114"/>
      <c r="EF16" s="117"/>
    </row>
    <row r="17" spans="1:136" ht="20.25" customHeight="1">
      <c r="A17" s="128"/>
      <c r="B17" s="128"/>
      <c r="C17" s="285"/>
      <c r="D17" s="287"/>
      <c r="E17" s="312"/>
      <c r="F17" s="4" t="s">
        <v>57</v>
      </c>
      <c r="G17" s="3" t="s">
        <v>39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f t="shared" si="8"/>
        <v>0</v>
      </c>
      <c r="U17" s="49">
        <f t="shared" si="9"/>
        <v>0</v>
      </c>
      <c r="V17" s="49">
        <f t="shared" si="10"/>
        <v>0</v>
      </c>
      <c r="W17" s="49">
        <f t="shared" si="11"/>
        <v>0</v>
      </c>
      <c r="X17" s="49">
        <f t="shared" si="12"/>
        <v>0</v>
      </c>
      <c r="Y17" s="49">
        <f t="shared" si="13"/>
        <v>0</v>
      </c>
      <c r="Z17" s="49">
        <f t="shared" si="14"/>
        <v>0</v>
      </c>
      <c r="AA17" s="49">
        <f t="shared" si="15"/>
        <v>0</v>
      </c>
      <c r="AB17" s="49">
        <f t="shared" si="16"/>
        <v>0</v>
      </c>
      <c r="AC17" s="49">
        <f t="shared" si="17"/>
        <v>0</v>
      </c>
      <c r="AD17" s="49">
        <f t="shared" si="18"/>
        <v>0</v>
      </c>
      <c r="AE17" s="50">
        <f t="shared" si="19"/>
        <v>0</v>
      </c>
      <c r="AF17" s="186"/>
      <c r="AG17" s="322"/>
      <c r="AH17" s="138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4"/>
      <c r="AT17" s="31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5"/>
      <c r="BF17" s="138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4"/>
      <c r="BR17" s="106"/>
      <c r="BS17" s="299"/>
      <c r="BT17" s="299"/>
      <c r="BU17" s="299"/>
      <c r="BV17" s="299"/>
      <c r="BW17" s="299"/>
      <c r="BX17" s="299"/>
      <c r="BY17" s="299"/>
      <c r="BZ17" s="299"/>
      <c r="CA17" s="299"/>
      <c r="CB17" s="299"/>
      <c r="CC17" s="317"/>
      <c r="CD17" s="202"/>
      <c r="CE17" s="177"/>
      <c r="CF17" s="165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71"/>
      <c r="CR17" s="174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50"/>
      <c r="DD17" s="153"/>
      <c r="DE17" s="138"/>
      <c r="DF17" s="141"/>
      <c r="DG17" s="141"/>
      <c r="DH17" s="141"/>
      <c r="DI17" s="141"/>
      <c r="DJ17" s="141"/>
      <c r="DK17" s="141"/>
      <c r="DL17" s="141"/>
      <c r="DM17" s="141"/>
      <c r="DN17" s="141"/>
      <c r="DO17" s="141"/>
      <c r="DP17" s="144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9"/>
      <c r="EC17" s="132"/>
      <c r="EE17" s="114"/>
      <c r="EF17" s="117"/>
    </row>
    <row r="18" spans="1:136" ht="20.25" customHeight="1">
      <c r="A18" s="128"/>
      <c r="B18" s="128"/>
      <c r="C18" s="285"/>
      <c r="D18" s="287"/>
      <c r="E18" s="312"/>
      <c r="F18" s="76" t="s">
        <v>54</v>
      </c>
      <c r="G18" s="77" t="s">
        <v>40</v>
      </c>
      <c r="H18" s="46">
        <v>0.99652777777777779</v>
      </c>
      <c r="I18" s="46">
        <v>0.74045138888888884</v>
      </c>
      <c r="J18" s="46">
        <v>1</v>
      </c>
      <c r="K18" s="46">
        <v>1</v>
      </c>
      <c r="L18" s="46">
        <v>1</v>
      </c>
      <c r="M18" s="46">
        <v>1</v>
      </c>
      <c r="N18" s="46"/>
      <c r="O18" s="46"/>
      <c r="P18" s="46"/>
      <c r="Q18" s="46"/>
      <c r="R18" s="46"/>
      <c r="S18" s="47"/>
      <c r="T18" s="48">
        <f t="shared" si="8"/>
        <v>23.916666666666668</v>
      </c>
      <c r="U18" s="49">
        <f t="shared" si="9"/>
        <v>17.770833333333332</v>
      </c>
      <c r="V18" s="49">
        <f t="shared" si="10"/>
        <v>24</v>
      </c>
      <c r="W18" s="49">
        <f t="shared" si="11"/>
        <v>24</v>
      </c>
      <c r="X18" s="49">
        <f t="shared" si="12"/>
        <v>24</v>
      </c>
      <c r="Y18" s="49">
        <f t="shared" si="13"/>
        <v>24</v>
      </c>
      <c r="Z18" s="49">
        <f t="shared" si="14"/>
        <v>0</v>
      </c>
      <c r="AA18" s="49">
        <f t="shared" si="15"/>
        <v>0</v>
      </c>
      <c r="AB18" s="49">
        <f t="shared" si="16"/>
        <v>0</v>
      </c>
      <c r="AC18" s="49">
        <f t="shared" si="17"/>
        <v>0</v>
      </c>
      <c r="AD18" s="49">
        <f t="shared" si="18"/>
        <v>0</v>
      </c>
      <c r="AE18" s="50">
        <f t="shared" si="19"/>
        <v>0</v>
      </c>
      <c r="AF18" s="186"/>
      <c r="AG18" s="322"/>
      <c r="AH18" s="138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4"/>
      <c r="AT18" s="31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5"/>
      <c r="BF18" s="138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4"/>
      <c r="BR18" s="106"/>
      <c r="BS18" s="299"/>
      <c r="BT18" s="299"/>
      <c r="BU18" s="299"/>
      <c r="BV18" s="299"/>
      <c r="BW18" s="299"/>
      <c r="BX18" s="299"/>
      <c r="BY18" s="299"/>
      <c r="BZ18" s="299"/>
      <c r="CA18" s="299"/>
      <c r="CB18" s="299"/>
      <c r="CC18" s="317"/>
      <c r="CD18" s="202"/>
      <c r="CE18" s="177"/>
      <c r="CF18" s="165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71"/>
      <c r="CR18" s="174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50"/>
      <c r="DD18" s="153"/>
      <c r="DE18" s="138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4"/>
      <c r="DQ18" s="106"/>
      <c r="DR18" s="106"/>
      <c r="DS18" s="106"/>
      <c r="DT18" s="106"/>
      <c r="DU18" s="106"/>
      <c r="DV18" s="106"/>
      <c r="DW18" s="106"/>
      <c r="DX18" s="106"/>
      <c r="DY18" s="106"/>
      <c r="DZ18" s="106"/>
      <c r="EA18" s="106"/>
      <c r="EB18" s="109"/>
      <c r="EC18" s="132"/>
      <c r="EE18" s="114"/>
      <c r="EF18" s="117"/>
    </row>
    <row r="19" spans="1:136" ht="20.25" customHeight="1">
      <c r="A19" s="128"/>
      <c r="B19" s="128"/>
      <c r="C19" s="285"/>
      <c r="D19" s="287"/>
      <c r="E19" s="312"/>
      <c r="F19" s="2" t="s">
        <v>55</v>
      </c>
      <c r="G19" s="3" t="s">
        <v>41</v>
      </c>
      <c r="H19" s="46"/>
      <c r="I19" s="46"/>
      <c r="J19" s="46"/>
      <c r="K19" s="46"/>
      <c r="L19" s="46"/>
      <c r="M19" s="46"/>
      <c r="N19" s="46">
        <v>1</v>
      </c>
      <c r="O19" s="46"/>
      <c r="P19" s="46"/>
      <c r="Q19" s="46"/>
      <c r="R19" s="46"/>
      <c r="S19" s="47"/>
      <c r="T19" s="48">
        <f t="shared" si="8"/>
        <v>0</v>
      </c>
      <c r="U19" s="49">
        <f t="shared" si="9"/>
        <v>0</v>
      </c>
      <c r="V19" s="49">
        <f t="shared" si="10"/>
        <v>0</v>
      </c>
      <c r="W19" s="49">
        <f t="shared" si="11"/>
        <v>0</v>
      </c>
      <c r="X19" s="49">
        <f t="shared" si="12"/>
        <v>0</v>
      </c>
      <c r="Y19" s="49">
        <f t="shared" si="13"/>
        <v>0</v>
      </c>
      <c r="Z19" s="49">
        <f t="shared" si="14"/>
        <v>24</v>
      </c>
      <c r="AA19" s="49">
        <f t="shared" si="15"/>
        <v>0</v>
      </c>
      <c r="AB19" s="49">
        <f t="shared" si="16"/>
        <v>0</v>
      </c>
      <c r="AC19" s="49">
        <f t="shared" si="17"/>
        <v>0</v>
      </c>
      <c r="AD19" s="49">
        <f t="shared" si="18"/>
        <v>0</v>
      </c>
      <c r="AE19" s="50">
        <f t="shared" si="19"/>
        <v>0</v>
      </c>
      <c r="AF19" s="186"/>
      <c r="AG19" s="322"/>
      <c r="AH19" s="138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4"/>
      <c r="AT19" s="310"/>
      <c r="AU19" s="290"/>
      <c r="AV19" s="290"/>
      <c r="AW19" s="290"/>
      <c r="AX19" s="290"/>
      <c r="AY19" s="290"/>
      <c r="AZ19" s="290"/>
      <c r="BA19" s="290"/>
      <c r="BB19" s="290"/>
      <c r="BC19" s="290"/>
      <c r="BD19" s="290"/>
      <c r="BE19" s="295"/>
      <c r="BF19" s="138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4"/>
      <c r="BR19" s="106"/>
      <c r="BS19" s="299"/>
      <c r="BT19" s="299"/>
      <c r="BU19" s="299"/>
      <c r="BV19" s="299"/>
      <c r="BW19" s="299"/>
      <c r="BX19" s="299"/>
      <c r="BY19" s="299"/>
      <c r="BZ19" s="299"/>
      <c r="CA19" s="299"/>
      <c r="CB19" s="299"/>
      <c r="CC19" s="317"/>
      <c r="CD19" s="202"/>
      <c r="CE19" s="177"/>
      <c r="CF19" s="165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71"/>
      <c r="CR19" s="174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50"/>
      <c r="DD19" s="153"/>
      <c r="DE19" s="138"/>
      <c r="DF19" s="141"/>
      <c r="DG19" s="141"/>
      <c r="DH19" s="141"/>
      <c r="DI19" s="141"/>
      <c r="DJ19" s="141"/>
      <c r="DK19" s="141"/>
      <c r="DL19" s="141"/>
      <c r="DM19" s="141"/>
      <c r="DN19" s="141"/>
      <c r="DO19" s="141"/>
      <c r="DP19" s="144"/>
      <c r="DQ19" s="106"/>
      <c r="DR19" s="106"/>
      <c r="DS19" s="106"/>
      <c r="DT19" s="106"/>
      <c r="DU19" s="106"/>
      <c r="DV19" s="106"/>
      <c r="DW19" s="106"/>
      <c r="DX19" s="106"/>
      <c r="DY19" s="106"/>
      <c r="DZ19" s="106"/>
      <c r="EA19" s="106"/>
      <c r="EB19" s="109"/>
      <c r="EC19" s="132"/>
      <c r="EE19" s="114"/>
      <c r="EF19" s="117"/>
    </row>
    <row r="20" spans="1:136" ht="20.25" customHeight="1" thickBot="1">
      <c r="A20" s="128"/>
      <c r="B20" s="128"/>
      <c r="C20" s="286"/>
      <c r="D20" s="288"/>
      <c r="E20" s="313"/>
      <c r="F20" s="10" t="s">
        <v>56</v>
      </c>
      <c r="G20" s="11" t="s">
        <v>42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2"/>
      <c r="T20" s="53">
        <f t="shared" si="8"/>
        <v>0</v>
      </c>
      <c r="U20" s="54">
        <f t="shared" si="9"/>
        <v>0</v>
      </c>
      <c r="V20" s="54">
        <f t="shared" si="10"/>
        <v>0</v>
      </c>
      <c r="W20" s="54">
        <f t="shared" si="11"/>
        <v>0</v>
      </c>
      <c r="X20" s="54">
        <f t="shared" si="12"/>
        <v>0</v>
      </c>
      <c r="Y20" s="54">
        <f t="shared" si="13"/>
        <v>0</v>
      </c>
      <c r="Z20" s="54">
        <f t="shared" si="14"/>
        <v>0</v>
      </c>
      <c r="AA20" s="54">
        <f t="shared" si="15"/>
        <v>0</v>
      </c>
      <c r="AB20" s="54">
        <f t="shared" si="16"/>
        <v>0</v>
      </c>
      <c r="AC20" s="54">
        <f t="shared" si="17"/>
        <v>0</v>
      </c>
      <c r="AD20" s="54">
        <f t="shared" si="18"/>
        <v>0</v>
      </c>
      <c r="AE20" s="55">
        <f t="shared" si="19"/>
        <v>0</v>
      </c>
      <c r="AF20" s="186"/>
      <c r="AG20" s="322"/>
      <c r="AH20" s="139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5"/>
      <c r="AT20" s="31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6"/>
      <c r="BF20" s="139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5"/>
      <c r="BR20" s="107"/>
      <c r="BS20" s="300"/>
      <c r="BT20" s="300"/>
      <c r="BU20" s="300"/>
      <c r="BV20" s="300"/>
      <c r="BW20" s="300"/>
      <c r="BX20" s="300"/>
      <c r="BY20" s="300"/>
      <c r="BZ20" s="300"/>
      <c r="CA20" s="300"/>
      <c r="CB20" s="300"/>
      <c r="CC20" s="318"/>
      <c r="CD20" s="203"/>
      <c r="CE20" s="178"/>
      <c r="CF20" s="165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71"/>
      <c r="CR20" s="174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50"/>
      <c r="DD20" s="153"/>
      <c r="DE20" s="138"/>
      <c r="DF20" s="141"/>
      <c r="DG20" s="141"/>
      <c r="DH20" s="141"/>
      <c r="DI20" s="141"/>
      <c r="DJ20" s="141"/>
      <c r="DK20" s="141"/>
      <c r="DL20" s="141"/>
      <c r="DM20" s="141"/>
      <c r="DN20" s="141"/>
      <c r="DO20" s="141"/>
      <c r="DP20" s="144"/>
      <c r="DQ20" s="106"/>
      <c r="DR20" s="106"/>
      <c r="DS20" s="106"/>
      <c r="DT20" s="106"/>
      <c r="DU20" s="106"/>
      <c r="DV20" s="106"/>
      <c r="DW20" s="106"/>
      <c r="DX20" s="106"/>
      <c r="DY20" s="106"/>
      <c r="DZ20" s="106"/>
      <c r="EA20" s="106"/>
      <c r="EB20" s="109"/>
      <c r="EC20" s="132"/>
      <c r="EE20" s="114"/>
      <c r="EF20" s="117"/>
    </row>
    <row r="21" spans="1:136" ht="20.25" customHeight="1">
      <c r="A21" s="128"/>
      <c r="B21" s="128"/>
      <c r="C21" s="263" t="s">
        <v>10</v>
      </c>
      <c r="D21" s="289" t="s">
        <v>11</v>
      </c>
      <c r="E21" s="236" t="s">
        <v>4</v>
      </c>
      <c r="F21" s="8" t="s">
        <v>76</v>
      </c>
      <c r="G21" s="9" t="s">
        <v>82</v>
      </c>
      <c r="H21" s="41">
        <v>0.89861111111111114</v>
      </c>
      <c r="I21" s="41">
        <v>0.79108796296296291</v>
      </c>
      <c r="J21" s="41">
        <v>0.86458333333333337</v>
      </c>
      <c r="K21" s="41">
        <v>1</v>
      </c>
      <c r="L21" s="41">
        <v>1</v>
      </c>
      <c r="M21" s="41">
        <v>1</v>
      </c>
      <c r="N21" s="41">
        <v>1</v>
      </c>
      <c r="O21" s="41"/>
      <c r="P21" s="41"/>
      <c r="Q21" s="41"/>
      <c r="R21" s="41"/>
      <c r="S21" s="42"/>
      <c r="T21" s="43">
        <f t="shared" si="8"/>
        <v>21.566666666666666</v>
      </c>
      <c r="U21" s="90">
        <f t="shared" si="9"/>
        <v>18.986111111111111</v>
      </c>
      <c r="V21" s="90">
        <f t="shared" si="10"/>
        <v>20.75</v>
      </c>
      <c r="W21" s="90">
        <f t="shared" si="11"/>
        <v>24</v>
      </c>
      <c r="X21" s="90">
        <f t="shared" si="12"/>
        <v>24</v>
      </c>
      <c r="Y21" s="90">
        <f t="shared" si="13"/>
        <v>24</v>
      </c>
      <c r="Z21" s="90">
        <f t="shared" si="14"/>
        <v>24</v>
      </c>
      <c r="AA21" s="90">
        <f t="shared" si="15"/>
        <v>0</v>
      </c>
      <c r="AB21" s="44">
        <f t="shared" si="16"/>
        <v>0</v>
      </c>
      <c r="AC21" s="44">
        <f t="shared" si="17"/>
        <v>0</v>
      </c>
      <c r="AD21" s="44">
        <f t="shared" si="18"/>
        <v>0</v>
      </c>
      <c r="AE21" s="45">
        <f t="shared" si="19"/>
        <v>0</v>
      </c>
      <c r="AF21" s="186"/>
      <c r="AG21" s="322"/>
      <c r="AH21" s="137">
        <f>IFERROR((SUM(T21:T22)/COUNTIF(T21:T22,"&gt;0")),0)</f>
        <v>21.566666666666666</v>
      </c>
      <c r="AI21" s="140">
        <f t="shared" ref="AI21:AS21" si="22">IFERROR((SUM(U21:U22)/COUNTIF(U21:U22,"&gt;0")),0)</f>
        <v>18.986111111111111</v>
      </c>
      <c r="AJ21" s="140">
        <f t="shared" si="22"/>
        <v>20.75</v>
      </c>
      <c r="AK21" s="140">
        <f t="shared" si="22"/>
        <v>24</v>
      </c>
      <c r="AL21" s="140">
        <f t="shared" si="22"/>
        <v>24</v>
      </c>
      <c r="AM21" s="140">
        <f t="shared" si="22"/>
        <v>24</v>
      </c>
      <c r="AN21" s="140">
        <f t="shared" si="22"/>
        <v>24</v>
      </c>
      <c r="AO21" s="140">
        <f t="shared" si="22"/>
        <v>0</v>
      </c>
      <c r="AP21" s="140">
        <f t="shared" si="22"/>
        <v>0</v>
      </c>
      <c r="AQ21" s="140">
        <f t="shared" si="22"/>
        <v>0</v>
      </c>
      <c r="AR21" s="140">
        <f t="shared" si="22"/>
        <v>0</v>
      </c>
      <c r="AS21" s="143">
        <f t="shared" si="22"/>
        <v>0</v>
      </c>
      <c r="AT21" s="235">
        <v>527</v>
      </c>
      <c r="AU21" s="221">
        <v>523</v>
      </c>
      <c r="AV21" s="221">
        <v>526</v>
      </c>
      <c r="AW21" s="221">
        <v>522</v>
      </c>
      <c r="AX21" s="221">
        <v>523</v>
      </c>
      <c r="AY21" s="221">
        <v>517</v>
      </c>
      <c r="AZ21" s="221">
        <v>528</v>
      </c>
      <c r="BA21" s="221"/>
      <c r="BB21" s="221"/>
      <c r="BC21" s="221"/>
      <c r="BD21" s="221"/>
      <c r="BE21" s="306"/>
      <c r="BF21" s="302">
        <f t="shared" ref="BF21:BQ21" si="23">IFERROR((((AH21*AT21)+(AH23*AT23)+(AH25*AT25))/SUM(AT21:AT26)),0)</f>
        <v>22.45303473848556</v>
      </c>
      <c r="BG21" s="216">
        <f t="shared" si="23"/>
        <v>21.968846966395986</v>
      </c>
      <c r="BH21" s="216">
        <f t="shared" si="23"/>
        <v>20.997646787783047</v>
      </c>
      <c r="BI21" s="216">
        <f t="shared" si="23"/>
        <v>24</v>
      </c>
      <c r="BJ21" s="216">
        <f t="shared" si="23"/>
        <v>24</v>
      </c>
      <c r="BK21" s="216">
        <f t="shared" si="23"/>
        <v>24</v>
      </c>
      <c r="BL21" s="216">
        <f t="shared" si="23"/>
        <v>24</v>
      </c>
      <c r="BM21" s="216">
        <f t="shared" si="23"/>
        <v>0</v>
      </c>
      <c r="BN21" s="216">
        <f t="shared" si="23"/>
        <v>0</v>
      </c>
      <c r="BO21" s="216">
        <f t="shared" si="23"/>
        <v>0</v>
      </c>
      <c r="BP21" s="216">
        <f t="shared" si="23"/>
        <v>0</v>
      </c>
      <c r="BQ21" s="292">
        <f t="shared" si="23"/>
        <v>0</v>
      </c>
      <c r="BR21" s="212">
        <f>SUM(AT21:AT26)</f>
        <v>1708</v>
      </c>
      <c r="BS21" s="206">
        <f>SUM(AU21:AU26)</f>
        <v>1683</v>
      </c>
      <c r="BT21" s="206">
        <f>SUM(AV21:AV26)</f>
        <v>1688</v>
      </c>
      <c r="BU21" s="206">
        <f t="shared" ref="BU21:CB21" si="24">SUM(AW21:AW26)</f>
        <v>1670</v>
      </c>
      <c r="BV21" s="206">
        <f t="shared" si="24"/>
        <v>1663</v>
      </c>
      <c r="BW21" s="206">
        <f t="shared" si="24"/>
        <v>1669</v>
      </c>
      <c r="BX21" s="206">
        <f t="shared" si="24"/>
        <v>1686</v>
      </c>
      <c r="BY21" s="206">
        <f t="shared" si="24"/>
        <v>0</v>
      </c>
      <c r="BZ21" s="206">
        <f t="shared" si="24"/>
        <v>0</v>
      </c>
      <c r="CA21" s="206">
        <f t="shared" si="24"/>
        <v>0</v>
      </c>
      <c r="CB21" s="206">
        <f t="shared" si="24"/>
        <v>0</v>
      </c>
      <c r="CC21" s="209">
        <f>SUM(BE21:BE26)</f>
        <v>0</v>
      </c>
      <c r="CD21" s="198">
        <f>IFERROR(((BF21*BR21)+(BG21*BS21)+(BH21*BT21)+(BI21*BU21)+(BJ21*BV21)+(BK21*BW21)+(BL21*BX21)+(BM21*BY21)+(BN21*BZ21)+(BO21*CA21)+(BP21*CB21)+(BQ21*CC21))/SUM(BR21:CC26),0)</f>
        <v>23.05425176812744</v>
      </c>
      <c r="CE21" s="131">
        <f>CD21</f>
        <v>23.05425176812744</v>
      </c>
      <c r="CF21" s="165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71"/>
      <c r="CR21" s="174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50"/>
      <c r="DD21" s="153"/>
      <c r="DE21" s="138"/>
      <c r="DF21" s="141"/>
      <c r="DG21" s="141"/>
      <c r="DH21" s="141"/>
      <c r="DI21" s="141"/>
      <c r="DJ21" s="141"/>
      <c r="DK21" s="141"/>
      <c r="DL21" s="141"/>
      <c r="DM21" s="141"/>
      <c r="DN21" s="141"/>
      <c r="DO21" s="141"/>
      <c r="DP21" s="144"/>
      <c r="DQ21" s="106"/>
      <c r="DR21" s="106"/>
      <c r="DS21" s="106"/>
      <c r="DT21" s="106"/>
      <c r="DU21" s="106"/>
      <c r="DV21" s="106"/>
      <c r="DW21" s="106"/>
      <c r="DX21" s="106"/>
      <c r="DY21" s="106"/>
      <c r="DZ21" s="106"/>
      <c r="EA21" s="106"/>
      <c r="EB21" s="109"/>
      <c r="EC21" s="132"/>
      <c r="EE21" s="114"/>
      <c r="EF21" s="117"/>
    </row>
    <row r="22" spans="1:136" ht="20.25" customHeight="1">
      <c r="A22" s="128"/>
      <c r="B22" s="128"/>
      <c r="C22" s="258"/>
      <c r="D22" s="261"/>
      <c r="E22" s="238"/>
      <c r="F22" s="76" t="s">
        <v>77</v>
      </c>
      <c r="G22" s="77" t="s">
        <v>83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7"/>
      <c r="T22" s="48">
        <f t="shared" si="8"/>
        <v>0</v>
      </c>
      <c r="U22" s="49">
        <f t="shared" si="9"/>
        <v>0</v>
      </c>
      <c r="V22" s="49">
        <f t="shared" si="10"/>
        <v>0</v>
      </c>
      <c r="W22" s="49">
        <f t="shared" si="11"/>
        <v>0</v>
      </c>
      <c r="X22" s="49">
        <f t="shared" si="12"/>
        <v>0</v>
      </c>
      <c r="Y22" s="49">
        <f t="shared" si="13"/>
        <v>0</v>
      </c>
      <c r="Z22" s="49">
        <f t="shared" si="14"/>
        <v>0</v>
      </c>
      <c r="AA22" s="49">
        <f t="shared" si="15"/>
        <v>0</v>
      </c>
      <c r="AB22" s="49">
        <f t="shared" si="16"/>
        <v>0</v>
      </c>
      <c r="AC22" s="49">
        <f t="shared" si="17"/>
        <v>0</v>
      </c>
      <c r="AD22" s="49">
        <f t="shared" si="18"/>
        <v>0</v>
      </c>
      <c r="AE22" s="50">
        <f t="shared" si="19"/>
        <v>0</v>
      </c>
      <c r="AF22" s="186"/>
      <c r="AG22" s="322"/>
      <c r="AH22" s="138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4"/>
      <c r="AT22" s="234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305"/>
      <c r="BF22" s="303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93"/>
      <c r="BR22" s="194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10"/>
      <c r="CD22" s="199"/>
      <c r="CE22" s="132"/>
      <c r="CF22" s="165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71"/>
      <c r="CR22" s="174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50"/>
      <c r="DD22" s="153"/>
      <c r="DE22" s="138"/>
      <c r="DF22" s="141"/>
      <c r="DG22" s="141"/>
      <c r="DH22" s="141"/>
      <c r="DI22" s="141"/>
      <c r="DJ22" s="141"/>
      <c r="DK22" s="141"/>
      <c r="DL22" s="141"/>
      <c r="DM22" s="141"/>
      <c r="DN22" s="141"/>
      <c r="DO22" s="141"/>
      <c r="DP22" s="144"/>
      <c r="DQ22" s="106"/>
      <c r="DR22" s="106"/>
      <c r="DS22" s="106"/>
      <c r="DT22" s="106"/>
      <c r="DU22" s="106"/>
      <c r="DV22" s="106"/>
      <c r="DW22" s="106"/>
      <c r="DX22" s="106"/>
      <c r="DY22" s="106"/>
      <c r="DZ22" s="106"/>
      <c r="EA22" s="106"/>
      <c r="EB22" s="109"/>
      <c r="EC22" s="132"/>
      <c r="EE22" s="114"/>
      <c r="EF22" s="117"/>
    </row>
    <row r="23" spans="1:136" ht="20.25" customHeight="1">
      <c r="A23" s="128"/>
      <c r="B23" s="128"/>
      <c r="C23" s="258"/>
      <c r="D23" s="261"/>
      <c r="E23" s="239" t="s">
        <v>5</v>
      </c>
      <c r="F23" s="76" t="s">
        <v>78</v>
      </c>
      <c r="G23" s="77" t="s">
        <v>84</v>
      </c>
      <c r="H23" s="46">
        <v>0.93958333333333333</v>
      </c>
      <c r="I23" s="46">
        <v>0.98611111111111116</v>
      </c>
      <c r="J23" s="46">
        <v>0.86747685185185175</v>
      </c>
      <c r="K23" s="46">
        <v>1</v>
      </c>
      <c r="L23" s="46">
        <v>1</v>
      </c>
      <c r="M23" s="46">
        <v>1</v>
      </c>
      <c r="N23" s="46">
        <v>1</v>
      </c>
      <c r="O23" s="46"/>
      <c r="P23" s="46"/>
      <c r="Q23" s="46"/>
      <c r="R23" s="46"/>
      <c r="S23" s="47"/>
      <c r="T23" s="48">
        <f t="shared" si="8"/>
        <v>22.55</v>
      </c>
      <c r="U23" s="49">
        <f t="shared" si="9"/>
        <v>23.666666666666668</v>
      </c>
      <c r="V23" s="49">
        <f t="shared" si="10"/>
        <v>20.819444444444443</v>
      </c>
      <c r="W23" s="49">
        <f t="shared" si="11"/>
        <v>24</v>
      </c>
      <c r="X23" s="49">
        <f t="shared" si="12"/>
        <v>24</v>
      </c>
      <c r="Y23" s="49">
        <f t="shared" si="13"/>
        <v>24</v>
      </c>
      <c r="Z23" s="49">
        <f t="shared" si="14"/>
        <v>24</v>
      </c>
      <c r="AA23" s="49">
        <f t="shared" si="15"/>
        <v>0</v>
      </c>
      <c r="AB23" s="49">
        <f t="shared" si="16"/>
        <v>0</v>
      </c>
      <c r="AC23" s="49">
        <f t="shared" si="17"/>
        <v>0</v>
      </c>
      <c r="AD23" s="49">
        <f t="shared" si="18"/>
        <v>0</v>
      </c>
      <c r="AE23" s="50">
        <f t="shared" si="19"/>
        <v>0</v>
      </c>
      <c r="AF23" s="186"/>
      <c r="AG23" s="322"/>
      <c r="AH23" s="138">
        <f>IFERROR((SUM(T23:T24)/COUNTIF(T23:T24,"&gt;0")),0)</f>
        <v>22.55</v>
      </c>
      <c r="AI23" s="141">
        <f t="shared" ref="AI23:AS23" si="25">IFERROR((SUM(U23:U24)/COUNTIF(U23:U24,"&gt;0")),0)</f>
        <v>23.666666666666668</v>
      </c>
      <c r="AJ23" s="141">
        <f t="shared" si="25"/>
        <v>20.819444444444443</v>
      </c>
      <c r="AK23" s="141">
        <f t="shared" si="25"/>
        <v>24</v>
      </c>
      <c r="AL23" s="141">
        <f t="shared" si="25"/>
        <v>24</v>
      </c>
      <c r="AM23" s="141">
        <f t="shared" si="25"/>
        <v>24</v>
      </c>
      <c r="AN23" s="141">
        <f t="shared" si="25"/>
        <v>24</v>
      </c>
      <c r="AO23" s="141">
        <f t="shared" si="25"/>
        <v>0</v>
      </c>
      <c r="AP23" s="141">
        <f t="shared" si="25"/>
        <v>0</v>
      </c>
      <c r="AQ23" s="141">
        <f t="shared" si="25"/>
        <v>0</v>
      </c>
      <c r="AR23" s="141">
        <f t="shared" si="25"/>
        <v>0</v>
      </c>
      <c r="AS23" s="144">
        <f t="shared" si="25"/>
        <v>0</v>
      </c>
      <c r="AT23" s="231">
        <v>923</v>
      </c>
      <c r="AU23" s="219">
        <v>908</v>
      </c>
      <c r="AV23" s="219">
        <v>909</v>
      </c>
      <c r="AW23" s="219">
        <v>898</v>
      </c>
      <c r="AX23" s="219">
        <v>894</v>
      </c>
      <c r="AY23" s="219">
        <v>906</v>
      </c>
      <c r="AZ23" s="219">
        <v>909</v>
      </c>
      <c r="BA23" s="219"/>
      <c r="BB23" s="219"/>
      <c r="BC23" s="219"/>
      <c r="BD23" s="219"/>
      <c r="BE23" s="228"/>
      <c r="BF23" s="303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93"/>
      <c r="BR23" s="194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10"/>
      <c r="CD23" s="199"/>
      <c r="CE23" s="132"/>
      <c r="CF23" s="165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71"/>
      <c r="CR23" s="174"/>
      <c r="CS23" s="147"/>
      <c r="CT23" s="147"/>
      <c r="CU23" s="147"/>
      <c r="CV23" s="147"/>
      <c r="CW23" s="147"/>
      <c r="CX23" s="147"/>
      <c r="CY23" s="147"/>
      <c r="CZ23" s="147"/>
      <c r="DA23" s="147"/>
      <c r="DB23" s="147"/>
      <c r="DC23" s="150"/>
      <c r="DD23" s="153"/>
      <c r="DE23" s="138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4"/>
      <c r="DQ23" s="106"/>
      <c r="DR23" s="106"/>
      <c r="DS23" s="106"/>
      <c r="DT23" s="106"/>
      <c r="DU23" s="106"/>
      <c r="DV23" s="106"/>
      <c r="DW23" s="106"/>
      <c r="DX23" s="106"/>
      <c r="DY23" s="106"/>
      <c r="DZ23" s="106"/>
      <c r="EA23" s="106"/>
      <c r="EB23" s="109"/>
      <c r="EC23" s="132"/>
      <c r="EE23" s="114"/>
      <c r="EF23" s="117"/>
    </row>
    <row r="24" spans="1:136" ht="20.25" customHeight="1">
      <c r="A24" s="128"/>
      <c r="B24" s="128"/>
      <c r="C24" s="258"/>
      <c r="D24" s="261"/>
      <c r="E24" s="241"/>
      <c r="F24" s="2" t="s">
        <v>79</v>
      </c>
      <c r="G24" s="3" t="s">
        <v>85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7"/>
      <c r="T24" s="48">
        <f t="shared" si="8"/>
        <v>0</v>
      </c>
      <c r="U24" s="49">
        <f t="shared" si="9"/>
        <v>0</v>
      </c>
      <c r="V24" s="49">
        <f t="shared" si="10"/>
        <v>0</v>
      </c>
      <c r="W24" s="49">
        <f t="shared" si="11"/>
        <v>0</v>
      </c>
      <c r="X24" s="49">
        <f t="shared" si="12"/>
        <v>0</v>
      </c>
      <c r="Y24" s="49">
        <f t="shared" si="13"/>
        <v>0</v>
      </c>
      <c r="Z24" s="49">
        <f t="shared" si="14"/>
        <v>0</v>
      </c>
      <c r="AA24" s="49">
        <f t="shared" si="15"/>
        <v>0</v>
      </c>
      <c r="AB24" s="49">
        <f t="shared" si="16"/>
        <v>0</v>
      </c>
      <c r="AC24" s="49">
        <f t="shared" si="17"/>
        <v>0</v>
      </c>
      <c r="AD24" s="49">
        <f t="shared" si="18"/>
        <v>0</v>
      </c>
      <c r="AE24" s="50">
        <f t="shared" si="19"/>
        <v>0</v>
      </c>
      <c r="AF24" s="186"/>
      <c r="AG24" s="322"/>
      <c r="AH24" s="138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4"/>
      <c r="AT24" s="234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305"/>
      <c r="BF24" s="303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93"/>
      <c r="BR24" s="194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10"/>
      <c r="CD24" s="199"/>
      <c r="CE24" s="132"/>
      <c r="CF24" s="165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71"/>
      <c r="CR24" s="174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50"/>
      <c r="DD24" s="153"/>
      <c r="DE24" s="138"/>
      <c r="DF24" s="141"/>
      <c r="DG24" s="141"/>
      <c r="DH24" s="141"/>
      <c r="DI24" s="141"/>
      <c r="DJ24" s="141"/>
      <c r="DK24" s="141"/>
      <c r="DL24" s="141"/>
      <c r="DM24" s="141"/>
      <c r="DN24" s="141"/>
      <c r="DO24" s="141"/>
      <c r="DP24" s="144"/>
      <c r="DQ24" s="106"/>
      <c r="DR24" s="106"/>
      <c r="DS24" s="106"/>
      <c r="DT24" s="106"/>
      <c r="DU24" s="106"/>
      <c r="DV24" s="106"/>
      <c r="DW24" s="106"/>
      <c r="DX24" s="106"/>
      <c r="DY24" s="106"/>
      <c r="DZ24" s="106"/>
      <c r="EA24" s="106"/>
      <c r="EB24" s="109"/>
      <c r="EC24" s="132"/>
      <c r="EE24" s="114"/>
      <c r="EF24" s="117"/>
    </row>
    <row r="25" spans="1:136" ht="20.25" customHeight="1">
      <c r="A25" s="128"/>
      <c r="B25" s="128"/>
      <c r="C25" s="258"/>
      <c r="D25" s="261"/>
      <c r="E25" s="242" t="s">
        <v>6</v>
      </c>
      <c r="F25" s="2" t="s">
        <v>80</v>
      </c>
      <c r="G25" s="3" t="s">
        <v>86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  <c r="T25" s="48">
        <f t="shared" si="8"/>
        <v>0</v>
      </c>
      <c r="U25" s="49">
        <f t="shared" si="9"/>
        <v>0</v>
      </c>
      <c r="V25" s="49">
        <f t="shared" si="10"/>
        <v>0</v>
      </c>
      <c r="W25" s="49">
        <f t="shared" si="11"/>
        <v>0</v>
      </c>
      <c r="X25" s="49">
        <f t="shared" si="12"/>
        <v>0</v>
      </c>
      <c r="Y25" s="49">
        <f t="shared" si="13"/>
        <v>0</v>
      </c>
      <c r="Z25" s="49">
        <f t="shared" si="14"/>
        <v>0</v>
      </c>
      <c r="AA25" s="49">
        <f t="shared" si="15"/>
        <v>0</v>
      </c>
      <c r="AB25" s="49">
        <f t="shared" si="16"/>
        <v>0</v>
      </c>
      <c r="AC25" s="49">
        <f t="shared" si="17"/>
        <v>0</v>
      </c>
      <c r="AD25" s="49">
        <f t="shared" si="18"/>
        <v>0</v>
      </c>
      <c r="AE25" s="50">
        <f t="shared" si="19"/>
        <v>0</v>
      </c>
      <c r="AF25" s="186"/>
      <c r="AG25" s="322"/>
      <c r="AH25" s="138">
        <f>IFERROR((SUM(T25:T26)/COUNTIF(T25:T26,"&gt;0")),0)</f>
        <v>23.916666666666668</v>
      </c>
      <c r="AI25" s="141">
        <f t="shared" ref="AI25:AS25" si="26">IFERROR((SUM(U25:U26)/COUNTIF(U25:U26,"&gt;0")),0)</f>
        <v>22.041666666666668</v>
      </c>
      <c r="AJ25" s="141">
        <f t="shared" si="26"/>
        <v>22.152777777777779</v>
      </c>
      <c r="AK25" s="141">
        <f t="shared" si="26"/>
        <v>24</v>
      </c>
      <c r="AL25" s="141">
        <f t="shared" si="26"/>
        <v>24</v>
      </c>
      <c r="AM25" s="141">
        <f t="shared" si="26"/>
        <v>24</v>
      </c>
      <c r="AN25" s="141">
        <f t="shared" si="26"/>
        <v>24</v>
      </c>
      <c r="AO25" s="141">
        <f t="shared" si="26"/>
        <v>0</v>
      </c>
      <c r="AP25" s="141">
        <f t="shared" si="26"/>
        <v>0</v>
      </c>
      <c r="AQ25" s="141">
        <f t="shared" si="26"/>
        <v>0</v>
      </c>
      <c r="AR25" s="141">
        <f t="shared" si="26"/>
        <v>0</v>
      </c>
      <c r="AS25" s="144">
        <f t="shared" si="26"/>
        <v>0</v>
      </c>
      <c r="AT25" s="231">
        <v>258</v>
      </c>
      <c r="AU25" s="219">
        <v>252</v>
      </c>
      <c r="AV25" s="219">
        <v>253</v>
      </c>
      <c r="AW25" s="219">
        <v>250</v>
      </c>
      <c r="AX25" s="219">
        <v>246</v>
      </c>
      <c r="AY25" s="219">
        <v>246</v>
      </c>
      <c r="AZ25" s="219">
        <v>249</v>
      </c>
      <c r="BA25" s="219"/>
      <c r="BB25" s="219"/>
      <c r="BC25" s="219"/>
      <c r="BD25" s="219"/>
      <c r="BE25" s="228"/>
      <c r="BF25" s="303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93"/>
      <c r="BR25" s="194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10"/>
      <c r="CD25" s="199"/>
      <c r="CE25" s="132"/>
      <c r="CF25" s="165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71"/>
      <c r="CR25" s="174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50"/>
      <c r="DD25" s="153"/>
      <c r="DE25" s="138"/>
      <c r="DF25" s="141"/>
      <c r="DG25" s="141"/>
      <c r="DH25" s="141"/>
      <c r="DI25" s="141"/>
      <c r="DJ25" s="141"/>
      <c r="DK25" s="141"/>
      <c r="DL25" s="141"/>
      <c r="DM25" s="141"/>
      <c r="DN25" s="141"/>
      <c r="DO25" s="141"/>
      <c r="DP25" s="144"/>
      <c r="DQ25" s="106"/>
      <c r="DR25" s="106"/>
      <c r="DS25" s="106"/>
      <c r="DT25" s="106"/>
      <c r="DU25" s="106"/>
      <c r="DV25" s="106"/>
      <c r="DW25" s="106"/>
      <c r="DX25" s="106"/>
      <c r="DY25" s="106"/>
      <c r="DZ25" s="106"/>
      <c r="EA25" s="106"/>
      <c r="EB25" s="109"/>
      <c r="EC25" s="132"/>
      <c r="EE25" s="114"/>
      <c r="EF25" s="117"/>
    </row>
    <row r="26" spans="1:136" ht="20.25" customHeight="1" thickBot="1">
      <c r="A26" s="128"/>
      <c r="B26" s="128"/>
      <c r="C26" s="259"/>
      <c r="D26" s="262"/>
      <c r="E26" s="244"/>
      <c r="F26" s="80" t="s">
        <v>81</v>
      </c>
      <c r="G26" s="81" t="s">
        <v>87</v>
      </c>
      <c r="H26" s="51">
        <v>0.99652777777777779</v>
      </c>
      <c r="I26" s="51">
        <v>0.91840277777777779</v>
      </c>
      <c r="J26" s="51">
        <v>0.92303240740740744</v>
      </c>
      <c r="K26" s="46">
        <v>1</v>
      </c>
      <c r="L26" s="46">
        <v>1</v>
      </c>
      <c r="M26" s="51">
        <v>1</v>
      </c>
      <c r="N26" s="51">
        <v>1</v>
      </c>
      <c r="O26" s="51"/>
      <c r="P26" s="51"/>
      <c r="Q26" s="51"/>
      <c r="R26" s="51"/>
      <c r="S26" s="52"/>
      <c r="T26" s="53">
        <f t="shared" si="8"/>
        <v>23.916666666666668</v>
      </c>
      <c r="U26" s="54">
        <f t="shared" si="9"/>
        <v>22.041666666666668</v>
      </c>
      <c r="V26" s="54">
        <f t="shared" si="10"/>
        <v>22.152777777777779</v>
      </c>
      <c r="W26" s="54">
        <f t="shared" si="11"/>
        <v>24</v>
      </c>
      <c r="X26" s="54">
        <f t="shared" si="12"/>
        <v>24</v>
      </c>
      <c r="Y26" s="54">
        <f t="shared" si="13"/>
        <v>24</v>
      </c>
      <c r="Z26" s="54">
        <f t="shared" si="14"/>
        <v>24</v>
      </c>
      <c r="AA26" s="54">
        <f t="shared" si="15"/>
        <v>0</v>
      </c>
      <c r="AB26" s="54">
        <f t="shared" si="16"/>
        <v>0</v>
      </c>
      <c r="AC26" s="54">
        <f t="shared" si="17"/>
        <v>0</v>
      </c>
      <c r="AD26" s="54">
        <f t="shared" si="18"/>
        <v>0</v>
      </c>
      <c r="AE26" s="55">
        <f t="shared" si="19"/>
        <v>0</v>
      </c>
      <c r="AF26" s="186"/>
      <c r="AG26" s="322"/>
      <c r="AH26" s="139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5"/>
      <c r="AT26" s="233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9"/>
      <c r="BF26" s="304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94"/>
      <c r="BR26" s="195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11"/>
      <c r="CD26" s="200"/>
      <c r="CE26" s="133"/>
      <c r="CF26" s="165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71"/>
      <c r="CR26" s="174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50"/>
      <c r="DD26" s="153"/>
      <c r="DE26" s="138"/>
      <c r="DF26" s="141"/>
      <c r="DG26" s="141"/>
      <c r="DH26" s="141"/>
      <c r="DI26" s="141"/>
      <c r="DJ26" s="141"/>
      <c r="DK26" s="141"/>
      <c r="DL26" s="141"/>
      <c r="DM26" s="141"/>
      <c r="DN26" s="141"/>
      <c r="DO26" s="141"/>
      <c r="DP26" s="144"/>
      <c r="DQ26" s="106"/>
      <c r="DR26" s="106"/>
      <c r="DS26" s="106"/>
      <c r="DT26" s="106"/>
      <c r="DU26" s="106"/>
      <c r="DV26" s="106"/>
      <c r="DW26" s="106"/>
      <c r="DX26" s="106"/>
      <c r="DY26" s="106"/>
      <c r="DZ26" s="106"/>
      <c r="EA26" s="106"/>
      <c r="EB26" s="109"/>
      <c r="EC26" s="132"/>
      <c r="EE26" s="114"/>
      <c r="EF26" s="117"/>
    </row>
    <row r="27" spans="1:136" ht="20.25" customHeight="1">
      <c r="A27" s="128"/>
      <c r="B27" s="128"/>
      <c r="C27" s="182" t="s">
        <v>12</v>
      </c>
      <c r="D27" s="245" t="s">
        <v>13</v>
      </c>
      <c r="E27" s="236" t="s">
        <v>4</v>
      </c>
      <c r="F27" s="82" t="s">
        <v>105</v>
      </c>
      <c r="G27" s="83" t="s">
        <v>114</v>
      </c>
      <c r="H27" s="41">
        <v>0.99722222222222223</v>
      </c>
      <c r="I27" s="41">
        <v>0.56365740740740744</v>
      </c>
      <c r="J27" s="41">
        <v>0.73668981481481488</v>
      </c>
      <c r="K27" s="41">
        <v>1</v>
      </c>
      <c r="L27" s="41">
        <v>1</v>
      </c>
      <c r="M27" s="41">
        <v>1</v>
      </c>
      <c r="N27" s="41">
        <v>1</v>
      </c>
      <c r="O27" s="41"/>
      <c r="P27" s="41"/>
      <c r="Q27" s="41"/>
      <c r="R27" s="41"/>
      <c r="S27" s="42"/>
      <c r="T27" s="43">
        <f t="shared" si="8"/>
        <v>23.933333333333334</v>
      </c>
      <c r="U27" s="90">
        <f t="shared" si="9"/>
        <v>13.527777777777779</v>
      </c>
      <c r="V27" s="90">
        <f t="shared" si="10"/>
        <v>17.680555555555557</v>
      </c>
      <c r="W27" s="90">
        <f t="shared" si="11"/>
        <v>24</v>
      </c>
      <c r="X27" s="90">
        <f t="shared" si="12"/>
        <v>24</v>
      </c>
      <c r="Y27" s="90">
        <f t="shared" si="13"/>
        <v>24</v>
      </c>
      <c r="Z27" s="90">
        <f t="shared" si="14"/>
        <v>24</v>
      </c>
      <c r="AA27" s="90">
        <f t="shared" si="15"/>
        <v>0</v>
      </c>
      <c r="AB27" s="44">
        <f t="shared" si="16"/>
        <v>0</v>
      </c>
      <c r="AC27" s="44">
        <f t="shared" si="17"/>
        <v>0</v>
      </c>
      <c r="AD27" s="44">
        <f t="shared" si="18"/>
        <v>0</v>
      </c>
      <c r="AE27" s="45">
        <f t="shared" si="19"/>
        <v>0</v>
      </c>
      <c r="AF27" s="186"/>
      <c r="AG27" s="322"/>
      <c r="AH27" s="137">
        <f>IFERROR((SUM(T27:T29)/COUNTIF(T27:T29,"&gt;0")),0)</f>
        <v>23.933333333333334</v>
      </c>
      <c r="AI27" s="140">
        <f t="shared" ref="AI27:AS27" si="27">IFERROR((SUM(U27:U29)/COUNTIF(U27:U29,"&gt;0")),0)</f>
        <v>13.527777777777779</v>
      </c>
      <c r="AJ27" s="140">
        <f t="shared" si="27"/>
        <v>17.680555555555557</v>
      </c>
      <c r="AK27" s="140">
        <f t="shared" si="27"/>
        <v>24</v>
      </c>
      <c r="AL27" s="140">
        <f t="shared" si="27"/>
        <v>24</v>
      </c>
      <c r="AM27" s="140">
        <f t="shared" si="27"/>
        <v>24</v>
      </c>
      <c r="AN27" s="140">
        <f t="shared" si="27"/>
        <v>24</v>
      </c>
      <c r="AO27" s="140">
        <f t="shared" si="27"/>
        <v>0</v>
      </c>
      <c r="AP27" s="140">
        <f t="shared" si="27"/>
        <v>0</v>
      </c>
      <c r="AQ27" s="140">
        <f t="shared" si="27"/>
        <v>0</v>
      </c>
      <c r="AR27" s="140">
        <f t="shared" si="27"/>
        <v>0</v>
      </c>
      <c r="AS27" s="143">
        <f t="shared" si="27"/>
        <v>0</v>
      </c>
      <c r="AT27" s="235">
        <v>746</v>
      </c>
      <c r="AU27" s="221">
        <v>746</v>
      </c>
      <c r="AV27" s="221">
        <v>746</v>
      </c>
      <c r="AW27" s="221">
        <v>743</v>
      </c>
      <c r="AX27" s="221">
        <v>752</v>
      </c>
      <c r="AY27" s="221">
        <v>752</v>
      </c>
      <c r="AZ27" s="221">
        <v>762</v>
      </c>
      <c r="BA27" s="221"/>
      <c r="BB27" s="221"/>
      <c r="BC27" s="221"/>
      <c r="BD27" s="221"/>
      <c r="BE27" s="223"/>
      <c r="BF27" s="137">
        <f>IFERROR((((AH27*AT27)+(AH30*AT30)+(AH33*AT33))/SUM(AT27:AT35)),0)</f>
        <v>23.975692407950472</v>
      </c>
      <c r="BG27" s="140">
        <f t="shared" ref="BG27:BQ27" si="28">IFERROR((((AI27*AU27)+(AI30*AU30)+(AI33*AU33))/SUM(AU27:AU35)),0)</f>
        <v>16.14314045096441</v>
      </c>
      <c r="BH27" s="140">
        <f t="shared" si="28"/>
        <v>20.274654993727157</v>
      </c>
      <c r="BI27" s="140">
        <f t="shared" si="28"/>
        <v>24</v>
      </c>
      <c r="BJ27" s="140">
        <f t="shared" si="28"/>
        <v>24</v>
      </c>
      <c r="BK27" s="140">
        <f t="shared" si="28"/>
        <v>24</v>
      </c>
      <c r="BL27" s="140">
        <f t="shared" si="28"/>
        <v>24</v>
      </c>
      <c r="BM27" s="140">
        <f t="shared" si="28"/>
        <v>0</v>
      </c>
      <c r="BN27" s="140">
        <f t="shared" si="28"/>
        <v>0</v>
      </c>
      <c r="BO27" s="140">
        <f t="shared" si="28"/>
        <v>0</v>
      </c>
      <c r="BP27" s="140">
        <f t="shared" si="28"/>
        <v>0</v>
      </c>
      <c r="BQ27" s="143">
        <f t="shared" si="28"/>
        <v>0</v>
      </c>
      <c r="BR27" s="212">
        <f>SUM(AT27:AT35)</f>
        <v>2046</v>
      </c>
      <c r="BS27" s="212">
        <f t="shared" ref="BS27:CC27" si="29">SUM(AU27:AU35)</f>
        <v>2045</v>
      </c>
      <c r="BT27" s="212">
        <f t="shared" si="29"/>
        <v>2037</v>
      </c>
      <c r="BU27" s="212">
        <f t="shared" si="29"/>
        <v>2026</v>
      </c>
      <c r="BV27" s="212">
        <f t="shared" si="29"/>
        <v>2048</v>
      </c>
      <c r="BW27" s="212">
        <f t="shared" si="29"/>
        <v>2041</v>
      </c>
      <c r="BX27" s="212">
        <f t="shared" si="29"/>
        <v>2056</v>
      </c>
      <c r="BY27" s="212">
        <f t="shared" si="29"/>
        <v>0</v>
      </c>
      <c r="BZ27" s="212">
        <f t="shared" si="29"/>
        <v>0</v>
      </c>
      <c r="CA27" s="212">
        <f t="shared" si="29"/>
        <v>0</v>
      </c>
      <c r="CB27" s="212">
        <f t="shared" si="29"/>
        <v>0</v>
      </c>
      <c r="CC27" s="190">
        <f t="shared" si="29"/>
        <v>0</v>
      </c>
      <c r="CD27" s="198">
        <f>IFERROR(((BF27*BR27)+(BG27*BS27)+(BH27*BT27)+(BI27*BU27)+(BJ27*BV27)+(BK27*BW27)+(BL27*BX27)+(BM27*BY27)+(BN27*BZ27)+(BO27*CA27)+(BP27*CB27)+(BQ27*CC27))/SUM(BR27:CC35),0)</f>
        <v>22.342154074488501</v>
      </c>
      <c r="CE27" s="131">
        <f>CD27</f>
        <v>22.342154074488501</v>
      </c>
      <c r="CF27" s="165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71"/>
      <c r="CR27" s="174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50"/>
      <c r="DD27" s="153"/>
      <c r="DE27" s="138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4"/>
      <c r="DQ27" s="106"/>
      <c r="DR27" s="106"/>
      <c r="DS27" s="106"/>
      <c r="DT27" s="106"/>
      <c r="DU27" s="106"/>
      <c r="DV27" s="106"/>
      <c r="DW27" s="106"/>
      <c r="DX27" s="106"/>
      <c r="DY27" s="106"/>
      <c r="DZ27" s="106"/>
      <c r="EA27" s="106"/>
      <c r="EB27" s="109"/>
      <c r="EC27" s="132"/>
      <c r="EE27" s="114"/>
      <c r="EF27" s="117"/>
    </row>
    <row r="28" spans="1:136" ht="20.25" customHeight="1">
      <c r="A28" s="128"/>
      <c r="B28" s="128"/>
      <c r="C28" s="183"/>
      <c r="D28" s="246"/>
      <c r="E28" s="237"/>
      <c r="F28" s="22" t="s">
        <v>106</v>
      </c>
      <c r="G28" s="23" t="s">
        <v>115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7"/>
      <c r="T28" s="48">
        <f t="shared" si="8"/>
        <v>0</v>
      </c>
      <c r="U28" s="49">
        <f>I28*24</f>
        <v>0</v>
      </c>
      <c r="V28" s="49">
        <f t="shared" si="10"/>
        <v>0</v>
      </c>
      <c r="W28" s="49">
        <f t="shared" si="11"/>
        <v>0</v>
      </c>
      <c r="X28" s="49">
        <f t="shared" si="12"/>
        <v>0</v>
      </c>
      <c r="Y28" s="49">
        <f t="shared" si="13"/>
        <v>0</v>
      </c>
      <c r="Z28" s="49">
        <f t="shared" si="14"/>
        <v>0</v>
      </c>
      <c r="AA28" s="49">
        <f t="shared" si="15"/>
        <v>0</v>
      </c>
      <c r="AB28" s="49">
        <f t="shared" si="16"/>
        <v>0</v>
      </c>
      <c r="AC28" s="49">
        <f t="shared" si="17"/>
        <v>0</v>
      </c>
      <c r="AD28" s="49">
        <f t="shared" si="18"/>
        <v>0</v>
      </c>
      <c r="AE28" s="50">
        <f t="shared" si="19"/>
        <v>0</v>
      </c>
      <c r="AF28" s="186"/>
      <c r="AG28" s="322"/>
      <c r="AH28" s="138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4"/>
      <c r="AT28" s="23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4"/>
      <c r="BF28" s="138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1"/>
      <c r="CD28" s="199"/>
      <c r="CE28" s="132"/>
      <c r="CF28" s="165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71"/>
      <c r="CR28" s="174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50"/>
      <c r="DD28" s="153"/>
      <c r="DE28" s="138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4"/>
      <c r="DQ28" s="106"/>
      <c r="DR28" s="106"/>
      <c r="DS28" s="106"/>
      <c r="DT28" s="106"/>
      <c r="DU28" s="106"/>
      <c r="DV28" s="106"/>
      <c r="DW28" s="106"/>
      <c r="DX28" s="106"/>
      <c r="DY28" s="106"/>
      <c r="DZ28" s="106"/>
      <c r="EA28" s="106"/>
      <c r="EB28" s="109"/>
      <c r="EC28" s="132"/>
      <c r="EE28" s="114"/>
      <c r="EF28" s="117"/>
    </row>
    <row r="29" spans="1:136" ht="20.25" customHeight="1">
      <c r="A29" s="128"/>
      <c r="B29" s="128"/>
      <c r="C29" s="183"/>
      <c r="D29" s="246"/>
      <c r="E29" s="238"/>
      <c r="F29" s="2" t="s">
        <v>107</v>
      </c>
      <c r="G29" s="3" t="s">
        <v>116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7"/>
      <c r="T29" s="48">
        <f t="shared" si="8"/>
        <v>0</v>
      </c>
      <c r="U29" s="49">
        <f>I29*24</f>
        <v>0</v>
      </c>
      <c r="V29" s="49">
        <f t="shared" si="10"/>
        <v>0</v>
      </c>
      <c r="W29" s="49">
        <f t="shared" si="11"/>
        <v>0</v>
      </c>
      <c r="X29" s="49">
        <f t="shared" si="12"/>
        <v>0</v>
      </c>
      <c r="Y29" s="49">
        <f t="shared" si="13"/>
        <v>0</v>
      </c>
      <c r="Z29" s="49">
        <f t="shared" si="14"/>
        <v>0</v>
      </c>
      <c r="AA29" s="49">
        <f t="shared" si="15"/>
        <v>0</v>
      </c>
      <c r="AB29" s="49">
        <f t="shared" si="16"/>
        <v>0</v>
      </c>
      <c r="AC29" s="49">
        <f t="shared" si="17"/>
        <v>0</v>
      </c>
      <c r="AD29" s="49">
        <f t="shared" si="18"/>
        <v>0</v>
      </c>
      <c r="AE29" s="50">
        <f t="shared" si="19"/>
        <v>0</v>
      </c>
      <c r="AF29" s="186"/>
      <c r="AG29" s="322"/>
      <c r="AH29" s="138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4"/>
      <c r="AT29" s="234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5"/>
      <c r="BF29" s="138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1"/>
      <c r="CD29" s="199"/>
      <c r="CE29" s="132"/>
      <c r="CF29" s="165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71"/>
      <c r="CR29" s="174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50"/>
      <c r="DD29" s="153"/>
      <c r="DE29" s="138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4"/>
      <c r="DQ29" s="106"/>
      <c r="DR29" s="106"/>
      <c r="DS29" s="106"/>
      <c r="DT29" s="106"/>
      <c r="DU29" s="106"/>
      <c r="DV29" s="106"/>
      <c r="DW29" s="106"/>
      <c r="DX29" s="106"/>
      <c r="DY29" s="106"/>
      <c r="DZ29" s="106"/>
      <c r="EA29" s="106"/>
      <c r="EB29" s="109"/>
      <c r="EC29" s="132"/>
      <c r="EE29" s="114"/>
      <c r="EF29" s="117"/>
    </row>
    <row r="30" spans="1:136" ht="20.25" customHeight="1">
      <c r="A30" s="128"/>
      <c r="B30" s="128"/>
      <c r="C30" s="183"/>
      <c r="D30" s="246"/>
      <c r="E30" s="239" t="s">
        <v>5</v>
      </c>
      <c r="F30" s="76" t="s">
        <v>108</v>
      </c>
      <c r="G30" s="77" t="s">
        <v>117</v>
      </c>
      <c r="H30" s="46"/>
      <c r="I30" s="46"/>
      <c r="J30" s="46"/>
      <c r="K30" s="46"/>
      <c r="L30" s="46"/>
      <c r="M30" s="46"/>
      <c r="N30" s="46">
        <v>1</v>
      </c>
      <c r="O30" s="46"/>
      <c r="P30" s="46"/>
      <c r="Q30" s="46"/>
      <c r="R30" s="46"/>
      <c r="S30" s="47"/>
      <c r="T30" s="48">
        <f t="shared" si="8"/>
        <v>0</v>
      </c>
      <c r="U30" s="49">
        <f t="shared" si="9"/>
        <v>0</v>
      </c>
      <c r="V30" s="49">
        <f t="shared" si="10"/>
        <v>0</v>
      </c>
      <c r="W30" s="49">
        <f t="shared" si="11"/>
        <v>0</v>
      </c>
      <c r="X30" s="49">
        <f t="shared" si="12"/>
        <v>0</v>
      </c>
      <c r="Y30" s="49">
        <f t="shared" si="13"/>
        <v>0</v>
      </c>
      <c r="Z30" s="49">
        <f t="shared" si="14"/>
        <v>24</v>
      </c>
      <c r="AA30" s="49">
        <f t="shared" si="15"/>
        <v>0</v>
      </c>
      <c r="AB30" s="49">
        <f t="shared" si="16"/>
        <v>0</v>
      </c>
      <c r="AC30" s="49">
        <f t="shared" si="17"/>
        <v>0</v>
      </c>
      <c r="AD30" s="49">
        <f t="shared" si="18"/>
        <v>0</v>
      </c>
      <c r="AE30" s="50">
        <f t="shared" si="19"/>
        <v>0</v>
      </c>
      <c r="AF30" s="186"/>
      <c r="AG30" s="322"/>
      <c r="AH30" s="138">
        <f>IFERROR((SUM(T30:T32)/COUNTIF(T30:T32,"&gt;0")),0)</f>
        <v>24</v>
      </c>
      <c r="AI30" s="141">
        <f t="shared" ref="AI30:AS30" si="30">IFERROR((SUM(U30:U32)/COUNTIF(U30:U32,"&gt;0")),0)</f>
        <v>15.180555555555555</v>
      </c>
      <c r="AJ30" s="141">
        <f t="shared" si="30"/>
        <v>20.902777777777779</v>
      </c>
      <c r="AK30" s="141">
        <f t="shared" si="30"/>
        <v>24</v>
      </c>
      <c r="AL30" s="141">
        <f t="shared" si="30"/>
        <v>24</v>
      </c>
      <c r="AM30" s="141">
        <f t="shared" si="30"/>
        <v>24</v>
      </c>
      <c r="AN30" s="141">
        <f t="shared" si="30"/>
        <v>24</v>
      </c>
      <c r="AO30" s="141">
        <f t="shared" si="30"/>
        <v>0</v>
      </c>
      <c r="AP30" s="141">
        <f t="shared" si="30"/>
        <v>0</v>
      </c>
      <c r="AQ30" s="141">
        <f t="shared" si="30"/>
        <v>0</v>
      </c>
      <c r="AR30" s="141">
        <f t="shared" si="30"/>
        <v>0</v>
      </c>
      <c r="AS30" s="144">
        <f t="shared" si="30"/>
        <v>0</v>
      </c>
      <c r="AT30" s="231">
        <v>936</v>
      </c>
      <c r="AU30" s="219">
        <v>936</v>
      </c>
      <c r="AV30" s="219">
        <v>928</v>
      </c>
      <c r="AW30" s="219">
        <v>920</v>
      </c>
      <c r="AX30" s="219">
        <v>933</v>
      </c>
      <c r="AY30" s="219">
        <v>930</v>
      </c>
      <c r="AZ30" s="219">
        <v>935</v>
      </c>
      <c r="BA30" s="219"/>
      <c r="BB30" s="219"/>
      <c r="BC30" s="219"/>
      <c r="BD30" s="219"/>
      <c r="BE30" s="226"/>
      <c r="BF30" s="138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1"/>
      <c r="CD30" s="199"/>
      <c r="CE30" s="132"/>
      <c r="CF30" s="165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71"/>
      <c r="CR30" s="174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50"/>
      <c r="DD30" s="153"/>
      <c r="DE30" s="138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4"/>
      <c r="DQ30" s="106"/>
      <c r="DR30" s="106"/>
      <c r="DS30" s="106"/>
      <c r="DT30" s="106"/>
      <c r="DU30" s="106"/>
      <c r="DV30" s="106"/>
      <c r="DW30" s="106"/>
      <c r="DX30" s="106"/>
      <c r="DY30" s="106"/>
      <c r="DZ30" s="106"/>
      <c r="EA30" s="106"/>
      <c r="EB30" s="109"/>
      <c r="EC30" s="132"/>
      <c r="EE30" s="114"/>
      <c r="EF30" s="117"/>
    </row>
    <row r="31" spans="1:136" ht="20.25" customHeight="1">
      <c r="A31" s="128"/>
      <c r="B31" s="128"/>
      <c r="C31" s="183"/>
      <c r="D31" s="246"/>
      <c r="E31" s="240"/>
      <c r="F31" s="2" t="s">
        <v>109</v>
      </c>
      <c r="G31" s="3" t="s">
        <v>118</v>
      </c>
      <c r="H31" s="46">
        <v>1</v>
      </c>
      <c r="I31" s="46">
        <v>0.63252314814814814</v>
      </c>
      <c r="J31" s="46">
        <v>0.87094907407407407</v>
      </c>
      <c r="K31" s="46">
        <v>1</v>
      </c>
      <c r="L31" s="46">
        <v>1</v>
      </c>
      <c r="M31" s="46">
        <v>1</v>
      </c>
      <c r="N31" s="46"/>
      <c r="O31" s="46"/>
      <c r="P31" s="46"/>
      <c r="Q31" s="46"/>
      <c r="R31" s="46"/>
      <c r="S31" s="47"/>
      <c r="T31" s="48">
        <f t="shared" si="8"/>
        <v>24</v>
      </c>
      <c r="U31" s="49">
        <f t="shared" si="9"/>
        <v>15.180555555555555</v>
      </c>
      <c r="V31" s="49">
        <f t="shared" si="10"/>
        <v>20.902777777777779</v>
      </c>
      <c r="W31" s="49">
        <f t="shared" si="11"/>
        <v>24</v>
      </c>
      <c r="X31" s="49">
        <f t="shared" si="12"/>
        <v>24</v>
      </c>
      <c r="Y31" s="49">
        <f t="shared" si="13"/>
        <v>24</v>
      </c>
      <c r="Z31" s="49">
        <f t="shared" si="14"/>
        <v>0</v>
      </c>
      <c r="AA31" s="49">
        <f t="shared" si="15"/>
        <v>0</v>
      </c>
      <c r="AB31" s="49">
        <f t="shared" si="16"/>
        <v>0</v>
      </c>
      <c r="AC31" s="49">
        <f t="shared" si="17"/>
        <v>0</v>
      </c>
      <c r="AD31" s="49">
        <f t="shared" si="18"/>
        <v>0</v>
      </c>
      <c r="AE31" s="50">
        <f t="shared" si="19"/>
        <v>0</v>
      </c>
      <c r="AF31" s="186"/>
      <c r="AG31" s="322"/>
      <c r="AH31" s="138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4"/>
      <c r="AT31" s="23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4"/>
      <c r="BF31" s="138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1"/>
      <c r="CD31" s="199"/>
      <c r="CE31" s="132"/>
      <c r="CF31" s="165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71"/>
      <c r="CR31" s="174"/>
      <c r="CS31" s="147"/>
      <c r="CT31" s="147"/>
      <c r="CU31" s="147"/>
      <c r="CV31" s="147"/>
      <c r="CW31" s="147"/>
      <c r="CX31" s="147"/>
      <c r="CY31" s="147"/>
      <c r="CZ31" s="147"/>
      <c r="DA31" s="147"/>
      <c r="DB31" s="147"/>
      <c r="DC31" s="150"/>
      <c r="DD31" s="153"/>
      <c r="DE31" s="138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4"/>
      <c r="DQ31" s="106"/>
      <c r="DR31" s="106"/>
      <c r="DS31" s="106"/>
      <c r="DT31" s="106"/>
      <c r="DU31" s="106"/>
      <c r="DV31" s="106"/>
      <c r="DW31" s="106"/>
      <c r="DX31" s="106"/>
      <c r="DY31" s="106"/>
      <c r="DZ31" s="106"/>
      <c r="EA31" s="106"/>
      <c r="EB31" s="109"/>
      <c r="EC31" s="132"/>
      <c r="EE31" s="114"/>
      <c r="EF31" s="117"/>
    </row>
    <row r="32" spans="1:136" ht="20.25" customHeight="1">
      <c r="A32" s="128"/>
      <c r="B32" s="128"/>
      <c r="C32" s="183"/>
      <c r="D32" s="246"/>
      <c r="E32" s="241"/>
      <c r="F32" s="2" t="s">
        <v>110</v>
      </c>
      <c r="G32" s="3" t="s">
        <v>119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7"/>
      <c r="T32" s="48">
        <f t="shared" si="8"/>
        <v>0</v>
      </c>
      <c r="U32" s="49">
        <f t="shared" si="9"/>
        <v>0</v>
      </c>
      <c r="V32" s="49">
        <f t="shared" si="10"/>
        <v>0</v>
      </c>
      <c r="W32" s="49">
        <f t="shared" si="11"/>
        <v>0</v>
      </c>
      <c r="X32" s="49">
        <f t="shared" si="12"/>
        <v>0</v>
      </c>
      <c r="Y32" s="49">
        <f t="shared" si="13"/>
        <v>0</v>
      </c>
      <c r="Z32" s="49">
        <f t="shared" si="14"/>
        <v>0</v>
      </c>
      <c r="AA32" s="49">
        <f t="shared" si="15"/>
        <v>0</v>
      </c>
      <c r="AB32" s="49">
        <f t="shared" si="16"/>
        <v>0</v>
      </c>
      <c r="AC32" s="49">
        <f t="shared" si="17"/>
        <v>0</v>
      </c>
      <c r="AD32" s="49">
        <f t="shared" si="18"/>
        <v>0</v>
      </c>
      <c r="AE32" s="50">
        <f t="shared" si="19"/>
        <v>0</v>
      </c>
      <c r="AF32" s="186"/>
      <c r="AG32" s="322"/>
      <c r="AH32" s="138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4"/>
      <c r="AT32" s="234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5"/>
      <c r="BF32" s="138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1"/>
      <c r="CD32" s="199"/>
      <c r="CE32" s="132"/>
      <c r="CF32" s="165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71"/>
      <c r="CR32" s="174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50"/>
      <c r="DD32" s="153"/>
      <c r="DE32" s="138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4"/>
      <c r="DQ32" s="106"/>
      <c r="DR32" s="106"/>
      <c r="DS32" s="106"/>
      <c r="DT32" s="106"/>
      <c r="DU32" s="106"/>
      <c r="DV32" s="106"/>
      <c r="DW32" s="106"/>
      <c r="DX32" s="106"/>
      <c r="DY32" s="106"/>
      <c r="DZ32" s="106"/>
      <c r="EA32" s="106"/>
      <c r="EB32" s="109"/>
      <c r="EC32" s="132"/>
      <c r="EE32" s="114"/>
      <c r="EF32" s="117"/>
    </row>
    <row r="33" spans="1:136" ht="20.25" customHeight="1">
      <c r="A33" s="128"/>
      <c r="B33" s="128"/>
      <c r="C33" s="183"/>
      <c r="D33" s="246"/>
      <c r="E33" s="242" t="s">
        <v>6</v>
      </c>
      <c r="F33" s="2" t="s">
        <v>111</v>
      </c>
      <c r="G33" s="3" t="s">
        <v>120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7"/>
      <c r="T33" s="48">
        <f t="shared" si="8"/>
        <v>0</v>
      </c>
      <c r="U33" s="49">
        <f t="shared" si="9"/>
        <v>0</v>
      </c>
      <c r="V33" s="49">
        <f t="shared" si="10"/>
        <v>0</v>
      </c>
      <c r="W33" s="49">
        <f t="shared" si="11"/>
        <v>0</v>
      </c>
      <c r="X33" s="49">
        <f t="shared" si="12"/>
        <v>0</v>
      </c>
      <c r="Y33" s="49">
        <f t="shared" si="13"/>
        <v>0</v>
      </c>
      <c r="Z33" s="49">
        <f t="shared" si="14"/>
        <v>0</v>
      </c>
      <c r="AA33" s="49">
        <f t="shared" si="15"/>
        <v>0</v>
      </c>
      <c r="AB33" s="49">
        <f t="shared" si="16"/>
        <v>0</v>
      </c>
      <c r="AC33" s="49">
        <f t="shared" si="17"/>
        <v>0</v>
      </c>
      <c r="AD33" s="49">
        <f t="shared" si="18"/>
        <v>0</v>
      </c>
      <c r="AE33" s="50">
        <f t="shared" si="19"/>
        <v>0</v>
      </c>
      <c r="AF33" s="186"/>
      <c r="AG33" s="322"/>
      <c r="AH33" s="138">
        <f>IFERROR((SUM(T33:T35)/COUNTIF(T33:T35,"&gt;0")),0)</f>
        <v>24</v>
      </c>
      <c r="AI33" s="141">
        <f t="shared" ref="AI33:AS33" si="31">IFERROR((SUM(U33:U35)/COUNTIF(U33:U35,"&gt;0")),0)</f>
        <v>24</v>
      </c>
      <c r="AJ33" s="141">
        <f t="shared" si="31"/>
        <v>24</v>
      </c>
      <c r="AK33" s="141">
        <f t="shared" si="31"/>
        <v>24</v>
      </c>
      <c r="AL33" s="141">
        <f t="shared" si="31"/>
        <v>24</v>
      </c>
      <c r="AM33" s="141">
        <f t="shared" si="31"/>
        <v>24</v>
      </c>
      <c r="AN33" s="141">
        <f t="shared" si="31"/>
        <v>24</v>
      </c>
      <c r="AO33" s="141">
        <f t="shared" si="31"/>
        <v>0</v>
      </c>
      <c r="AP33" s="141">
        <f t="shared" si="31"/>
        <v>0</v>
      </c>
      <c r="AQ33" s="141">
        <f t="shared" si="31"/>
        <v>0</v>
      </c>
      <c r="AR33" s="141">
        <f t="shared" si="31"/>
        <v>0</v>
      </c>
      <c r="AS33" s="144">
        <f t="shared" si="31"/>
        <v>0</v>
      </c>
      <c r="AT33" s="231">
        <v>364</v>
      </c>
      <c r="AU33" s="219">
        <v>363</v>
      </c>
      <c r="AV33" s="219">
        <v>363</v>
      </c>
      <c r="AW33" s="219">
        <v>363</v>
      </c>
      <c r="AX33" s="219">
        <v>363</v>
      </c>
      <c r="AY33" s="219">
        <v>359</v>
      </c>
      <c r="AZ33" s="219">
        <v>359</v>
      </c>
      <c r="BA33" s="219"/>
      <c r="BB33" s="219"/>
      <c r="BC33" s="219"/>
      <c r="BD33" s="219"/>
      <c r="BE33" s="226"/>
      <c r="BF33" s="138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1"/>
      <c r="CD33" s="199"/>
      <c r="CE33" s="132"/>
      <c r="CF33" s="165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71"/>
      <c r="CR33" s="174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50"/>
      <c r="DD33" s="153"/>
      <c r="DE33" s="138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4"/>
      <c r="DQ33" s="106"/>
      <c r="DR33" s="106"/>
      <c r="DS33" s="106"/>
      <c r="DT33" s="106"/>
      <c r="DU33" s="106"/>
      <c r="DV33" s="106"/>
      <c r="DW33" s="106"/>
      <c r="DX33" s="106"/>
      <c r="DY33" s="106"/>
      <c r="DZ33" s="106"/>
      <c r="EA33" s="106"/>
      <c r="EB33" s="109"/>
      <c r="EC33" s="132"/>
      <c r="EE33" s="114"/>
      <c r="EF33" s="117"/>
    </row>
    <row r="34" spans="1:136" ht="20.25" customHeight="1">
      <c r="A34" s="128"/>
      <c r="B34" s="128"/>
      <c r="C34" s="183"/>
      <c r="D34" s="246"/>
      <c r="E34" s="243"/>
      <c r="F34" s="76" t="s">
        <v>112</v>
      </c>
      <c r="G34" s="77" t="s">
        <v>121</v>
      </c>
      <c r="H34" s="46">
        <v>1</v>
      </c>
      <c r="I34" s="46">
        <v>1</v>
      </c>
      <c r="J34" s="46">
        <v>1</v>
      </c>
      <c r="K34" s="46">
        <v>1</v>
      </c>
      <c r="L34" s="46">
        <v>1</v>
      </c>
      <c r="M34" s="46">
        <v>1</v>
      </c>
      <c r="N34" s="46">
        <v>1</v>
      </c>
      <c r="O34" s="46"/>
      <c r="P34" s="46"/>
      <c r="Q34" s="46"/>
      <c r="R34" s="46"/>
      <c r="S34" s="47"/>
      <c r="T34" s="48">
        <f t="shared" si="8"/>
        <v>24</v>
      </c>
      <c r="U34" s="49">
        <f t="shared" si="9"/>
        <v>24</v>
      </c>
      <c r="V34" s="49">
        <f t="shared" si="10"/>
        <v>24</v>
      </c>
      <c r="W34" s="49">
        <f t="shared" si="11"/>
        <v>24</v>
      </c>
      <c r="X34" s="49">
        <f t="shared" si="12"/>
        <v>24</v>
      </c>
      <c r="Y34" s="49">
        <f t="shared" si="13"/>
        <v>24</v>
      </c>
      <c r="Z34" s="49">
        <f t="shared" si="14"/>
        <v>24</v>
      </c>
      <c r="AA34" s="49">
        <f t="shared" si="15"/>
        <v>0</v>
      </c>
      <c r="AB34" s="49">
        <f t="shared" si="16"/>
        <v>0</v>
      </c>
      <c r="AC34" s="49">
        <f t="shared" si="17"/>
        <v>0</v>
      </c>
      <c r="AD34" s="49">
        <f t="shared" si="18"/>
        <v>0</v>
      </c>
      <c r="AE34" s="50">
        <f t="shared" si="19"/>
        <v>0</v>
      </c>
      <c r="AF34" s="186"/>
      <c r="AG34" s="322"/>
      <c r="AH34" s="138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4"/>
      <c r="AT34" s="23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4"/>
      <c r="BF34" s="138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  <c r="CB34" s="194"/>
      <c r="CC34" s="191"/>
      <c r="CD34" s="199"/>
      <c r="CE34" s="132"/>
      <c r="CF34" s="165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71"/>
      <c r="CR34" s="174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50"/>
      <c r="DD34" s="153"/>
      <c r="DE34" s="138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4"/>
      <c r="DQ34" s="106"/>
      <c r="DR34" s="106"/>
      <c r="DS34" s="106"/>
      <c r="DT34" s="106"/>
      <c r="DU34" s="106"/>
      <c r="DV34" s="106"/>
      <c r="DW34" s="106"/>
      <c r="DX34" s="106"/>
      <c r="DY34" s="106"/>
      <c r="DZ34" s="106"/>
      <c r="EA34" s="106"/>
      <c r="EB34" s="109"/>
      <c r="EC34" s="132"/>
      <c r="EE34" s="114"/>
      <c r="EF34" s="117"/>
    </row>
    <row r="35" spans="1:136" ht="20.25" customHeight="1" thickBot="1">
      <c r="A35" s="128"/>
      <c r="B35" s="128"/>
      <c r="C35" s="184"/>
      <c r="D35" s="247"/>
      <c r="E35" s="244"/>
      <c r="F35" s="10" t="s">
        <v>113</v>
      </c>
      <c r="G35" s="11" t="s">
        <v>122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2"/>
      <c r="T35" s="53">
        <f t="shared" si="8"/>
        <v>0</v>
      </c>
      <c r="U35" s="54">
        <f t="shared" si="9"/>
        <v>0</v>
      </c>
      <c r="V35" s="54">
        <f t="shared" si="10"/>
        <v>0</v>
      </c>
      <c r="W35" s="54">
        <f t="shared" si="11"/>
        <v>0</v>
      </c>
      <c r="X35" s="54">
        <f t="shared" si="12"/>
        <v>0</v>
      </c>
      <c r="Y35" s="54">
        <f t="shared" si="13"/>
        <v>0</v>
      </c>
      <c r="Z35" s="54">
        <f t="shared" si="14"/>
        <v>0</v>
      </c>
      <c r="AA35" s="54">
        <f t="shared" si="15"/>
        <v>0</v>
      </c>
      <c r="AB35" s="54">
        <f t="shared" si="16"/>
        <v>0</v>
      </c>
      <c r="AC35" s="54">
        <f t="shared" si="17"/>
        <v>0</v>
      </c>
      <c r="AD35" s="54">
        <f t="shared" si="18"/>
        <v>0</v>
      </c>
      <c r="AE35" s="55">
        <f t="shared" si="19"/>
        <v>0</v>
      </c>
      <c r="AF35" s="186"/>
      <c r="AG35" s="322"/>
      <c r="AH35" s="139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5"/>
      <c r="AT35" s="233"/>
      <c r="AU35" s="227"/>
      <c r="AV35" s="227"/>
      <c r="AW35" s="227"/>
      <c r="AX35" s="227"/>
      <c r="AY35" s="227"/>
      <c r="AZ35" s="227"/>
      <c r="BA35" s="227"/>
      <c r="BB35" s="227"/>
      <c r="BC35" s="227"/>
      <c r="BD35" s="227"/>
      <c r="BE35" s="230"/>
      <c r="BF35" s="139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5"/>
      <c r="BR35" s="195"/>
      <c r="BS35" s="195"/>
      <c r="BT35" s="195"/>
      <c r="BU35" s="195"/>
      <c r="BV35" s="195"/>
      <c r="BW35" s="195"/>
      <c r="BX35" s="195"/>
      <c r="BY35" s="195"/>
      <c r="BZ35" s="195"/>
      <c r="CA35" s="195"/>
      <c r="CB35" s="195"/>
      <c r="CC35" s="197"/>
      <c r="CD35" s="200"/>
      <c r="CE35" s="133"/>
      <c r="CF35" s="165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71"/>
      <c r="CR35" s="174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50"/>
      <c r="DD35" s="153"/>
      <c r="DE35" s="138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4"/>
      <c r="DQ35" s="106"/>
      <c r="DR35" s="106"/>
      <c r="DS35" s="106"/>
      <c r="DT35" s="106"/>
      <c r="DU35" s="106"/>
      <c r="DV35" s="106"/>
      <c r="DW35" s="106"/>
      <c r="DX35" s="106"/>
      <c r="DY35" s="106"/>
      <c r="DZ35" s="106"/>
      <c r="EA35" s="106"/>
      <c r="EB35" s="109"/>
      <c r="EC35" s="132"/>
      <c r="EE35" s="114"/>
      <c r="EF35" s="117"/>
    </row>
    <row r="36" spans="1:136" ht="20.25" customHeight="1">
      <c r="A36" s="128"/>
      <c r="B36" s="128"/>
      <c r="C36" s="258" t="s">
        <v>14</v>
      </c>
      <c r="D36" s="272" t="s">
        <v>16</v>
      </c>
      <c r="E36" s="17" t="s">
        <v>4</v>
      </c>
      <c r="F36" s="76" t="s">
        <v>100</v>
      </c>
      <c r="G36" s="77" t="s">
        <v>102</v>
      </c>
      <c r="H36" s="46">
        <v>1</v>
      </c>
      <c r="I36" s="46">
        <v>0.69212962962962965</v>
      </c>
      <c r="J36" s="46">
        <v>0.97164351851851849</v>
      </c>
      <c r="K36" s="46">
        <v>1</v>
      </c>
      <c r="L36" s="46">
        <v>1</v>
      </c>
      <c r="M36" s="46">
        <v>1</v>
      </c>
      <c r="N36" s="46">
        <v>1</v>
      </c>
      <c r="O36" s="46"/>
      <c r="P36" s="46"/>
      <c r="Q36" s="46"/>
      <c r="R36" s="46"/>
      <c r="S36" s="47"/>
      <c r="T36" s="43">
        <f>H36*24</f>
        <v>24</v>
      </c>
      <c r="U36" s="90">
        <f t="shared" si="9"/>
        <v>16.611111111111111</v>
      </c>
      <c r="V36" s="90">
        <f t="shared" si="10"/>
        <v>23.319444444444443</v>
      </c>
      <c r="W36" s="90">
        <f t="shared" si="11"/>
        <v>24</v>
      </c>
      <c r="X36" s="90">
        <f t="shared" si="12"/>
        <v>24</v>
      </c>
      <c r="Y36" s="90">
        <f t="shared" si="13"/>
        <v>24</v>
      </c>
      <c r="Z36" s="90">
        <f t="shared" si="14"/>
        <v>24</v>
      </c>
      <c r="AA36" s="90">
        <f t="shared" si="15"/>
        <v>0</v>
      </c>
      <c r="AB36" s="90">
        <f t="shared" si="16"/>
        <v>0</v>
      </c>
      <c r="AC36" s="44">
        <f t="shared" si="17"/>
        <v>0</v>
      </c>
      <c r="AD36" s="44">
        <f t="shared" si="18"/>
        <v>0</v>
      </c>
      <c r="AE36" s="45">
        <f t="shared" si="19"/>
        <v>0</v>
      </c>
      <c r="AF36" s="186"/>
      <c r="AG36" s="322"/>
      <c r="AH36" s="24">
        <f>IFERROR((SUM(T36:T36)/COUNTIF(T36:T36,"&gt;0")),0)</f>
        <v>24</v>
      </c>
      <c r="AI36" s="25">
        <f t="shared" ref="AI36:AS38" si="32">IFERROR((SUM(U36:U36)/COUNTIF(U36:U36,"&gt;0")),0)</f>
        <v>16.611111111111111</v>
      </c>
      <c r="AJ36" s="25">
        <f t="shared" si="32"/>
        <v>23.319444444444443</v>
      </c>
      <c r="AK36" s="25">
        <f t="shared" si="32"/>
        <v>24</v>
      </c>
      <c r="AL36" s="25">
        <f t="shared" si="32"/>
        <v>24</v>
      </c>
      <c r="AM36" s="25">
        <f t="shared" si="32"/>
        <v>24</v>
      </c>
      <c r="AN36" s="25">
        <f t="shared" si="32"/>
        <v>24</v>
      </c>
      <c r="AO36" s="25">
        <f t="shared" si="32"/>
        <v>0</v>
      </c>
      <c r="AP36" s="25">
        <f t="shared" si="32"/>
        <v>0</v>
      </c>
      <c r="AQ36" s="25">
        <f t="shared" si="32"/>
        <v>0</v>
      </c>
      <c r="AR36" s="25">
        <f t="shared" si="32"/>
        <v>0</v>
      </c>
      <c r="AS36" s="26">
        <f t="shared" si="32"/>
        <v>0</v>
      </c>
      <c r="AT36" s="61">
        <v>97</v>
      </c>
      <c r="AU36" s="31">
        <v>93</v>
      </c>
      <c r="AV36" s="31">
        <v>93</v>
      </c>
      <c r="AW36" s="31">
        <v>93</v>
      </c>
      <c r="AX36" s="31">
        <v>93</v>
      </c>
      <c r="AY36" s="31">
        <v>94</v>
      </c>
      <c r="AZ36" s="31">
        <v>94</v>
      </c>
      <c r="BA36" s="31"/>
      <c r="BB36" s="31"/>
      <c r="BC36" s="31"/>
      <c r="BD36" s="31"/>
      <c r="BE36" s="37"/>
      <c r="BF36" s="137">
        <f>IFERROR((((AH36*AT36)+(AH37*AT37)+(AH38*AT38))/SUM(AT36:AT38)),0)</f>
        <v>20.000237341772156</v>
      </c>
      <c r="BG36" s="140">
        <f>IFERROR((((AI36*AU36)+(AI37*AU37)+(AI38*AU38))/SUM(AU36:AU38)),0)</f>
        <v>18.867497320471596</v>
      </c>
      <c r="BH36" s="140">
        <f t="shared" ref="BH36:BQ36" si="33">IFERROR((((AJ36*AV36)+(AJ37*AV37)+(AJ38*AV38))/SUM(AV36:AV38)),0)</f>
        <v>21.932799317896247</v>
      </c>
      <c r="BI36" s="140">
        <f t="shared" si="33"/>
        <v>24</v>
      </c>
      <c r="BJ36" s="140">
        <f t="shared" si="33"/>
        <v>24</v>
      </c>
      <c r="BK36" s="140">
        <f t="shared" si="33"/>
        <v>24</v>
      </c>
      <c r="BL36" s="140">
        <f t="shared" ref="BL36" si="34">IFERROR((((AN36*AZ36)+(AN37*AZ37)+(AN38*AZ38))/SUM(AZ36:AZ38)),0)</f>
        <v>24</v>
      </c>
      <c r="BM36" s="140">
        <f t="shared" ref="BM36" si="35">IFERROR((((AO36*BA36)+(AO37*BA37)+(AO38*BA38))/SUM(BA36:BA38)),0)</f>
        <v>0</v>
      </c>
      <c r="BN36" s="140">
        <f t="shared" ref="BN36" si="36">IFERROR((((AP36*BB36)+(AP37*BB37)+(AP38*BB38))/SUM(BB36:BB38)),0)</f>
        <v>0</v>
      </c>
      <c r="BO36" s="140">
        <f t="shared" ref="BO36" si="37">IFERROR((((AQ36*BC36)+(AQ37*BC37)+(AQ38*BC38))/SUM(BC36:BC38)),0)</f>
        <v>0</v>
      </c>
      <c r="BP36" s="140">
        <f t="shared" ref="BP36" si="38">IFERROR((((AR36*BD36)+(AR37*BD37)+(AR38*BD38))/SUM(BD36:BD38)),0)</f>
        <v>0</v>
      </c>
      <c r="BQ36" s="143">
        <f t="shared" si="33"/>
        <v>0</v>
      </c>
      <c r="BR36" s="214">
        <f>SUM(AT36:AT38)</f>
        <v>632</v>
      </c>
      <c r="BS36" s="214">
        <f t="shared" ref="BS36:CC36" si="39">SUM(AU36:AU38)</f>
        <v>622</v>
      </c>
      <c r="BT36" s="214">
        <f t="shared" si="39"/>
        <v>619</v>
      </c>
      <c r="BU36" s="214">
        <f t="shared" si="39"/>
        <v>620</v>
      </c>
      <c r="BV36" s="214">
        <f t="shared" si="39"/>
        <v>622</v>
      </c>
      <c r="BW36" s="214">
        <f t="shared" si="39"/>
        <v>625</v>
      </c>
      <c r="BX36" s="214">
        <f t="shared" si="39"/>
        <v>624</v>
      </c>
      <c r="BY36" s="214">
        <f t="shared" si="39"/>
        <v>0</v>
      </c>
      <c r="BZ36" s="214">
        <f t="shared" si="39"/>
        <v>0</v>
      </c>
      <c r="CA36" s="214">
        <f t="shared" si="39"/>
        <v>0</v>
      </c>
      <c r="CB36" s="214">
        <f t="shared" si="39"/>
        <v>0</v>
      </c>
      <c r="CC36" s="215">
        <f t="shared" si="39"/>
        <v>0</v>
      </c>
      <c r="CD36" s="202">
        <f>IFERROR(((BF36*BR36)+(BG36*BS36)+(BH36*BT36)+(BI36*BU36)+(BJ36*BV36)+(BK36*BW36)+(BL36*BX36)+(BM36*BY36)+(BN36*BZ36)+(BO36*CA36)+(BP36*CB36)+(BQ36*CC36))/SUM(BR36:CC38),0)</f>
        <v>22.395998192280274</v>
      </c>
      <c r="CE36" s="131">
        <f>IFERROR(((CD36*(SUM(BR36:CC38)))+(CD39*(SUM(BR39:CC47))))/(SUM(BR36:CC47)),0)</f>
        <v>22.969275093776833</v>
      </c>
      <c r="CF36" s="165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71"/>
      <c r="CR36" s="174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50"/>
      <c r="DD36" s="153"/>
      <c r="DE36" s="138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4"/>
      <c r="DQ36" s="106"/>
      <c r="DR36" s="106"/>
      <c r="DS36" s="106"/>
      <c r="DT36" s="106"/>
      <c r="DU36" s="106"/>
      <c r="DV36" s="106"/>
      <c r="DW36" s="106"/>
      <c r="DX36" s="106"/>
      <c r="DY36" s="106"/>
      <c r="DZ36" s="106"/>
      <c r="EA36" s="106"/>
      <c r="EB36" s="109"/>
      <c r="EC36" s="132"/>
      <c r="EE36" s="114"/>
      <c r="EF36" s="117"/>
    </row>
    <row r="37" spans="1:136" ht="20.25" customHeight="1">
      <c r="A37" s="128"/>
      <c r="B37" s="128"/>
      <c r="C37" s="258"/>
      <c r="D37" s="272"/>
      <c r="E37" s="18" t="s">
        <v>5</v>
      </c>
      <c r="F37" s="76" t="s">
        <v>270</v>
      </c>
      <c r="G37" s="77" t="s">
        <v>103</v>
      </c>
      <c r="H37" s="46">
        <v>0.69791666666666663</v>
      </c>
      <c r="I37" s="46">
        <v>0.69791666666666663</v>
      </c>
      <c r="J37" s="46">
        <v>0.79745370370370372</v>
      </c>
      <c r="K37" s="46">
        <v>1</v>
      </c>
      <c r="L37" s="46">
        <v>1</v>
      </c>
      <c r="M37" s="46">
        <v>1</v>
      </c>
      <c r="N37" s="46">
        <v>1</v>
      </c>
      <c r="O37" s="46"/>
      <c r="P37" s="46"/>
      <c r="Q37" s="46"/>
      <c r="R37" s="46"/>
      <c r="S37" s="47"/>
      <c r="T37" s="48">
        <f>H37*24</f>
        <v>16.75</v>
      </c>
      <c r="U37" s="49">
        <f>I37*24</f>
        <v>16.75</v>
      </c>
      <c r="V37" s="49">
        <f t="shared" si="10"/>
        <v>19.138888888888889</v>
      </c>
      <c r="W37" s="49">
        <f t="shared" si="11"/>
        <v>24</v>
      </c>
      <c r="X37" s="49">
        <f t="shared" si="12"/>
        <v>24</v>
      </c>
      <c r="Y37" s="49">
        <f t="shared" si="13"/>
        <v>24</v>
      </c>
      <c r="Z37" s="49">
        <f t="shared" si="14"/>
        <v>24</v>
      </c>
      <c r="AA37" s="49">
        <f t="shared" si="15"/>
        <v>0</v>
      </c>
      <c r="AB37" s="49">
        <f t="shared" si="16"/>
        <v>0</v>
      </c>
      <c r="AC37" s="49">
        <f t="shared" si="17"/>
        <v>0</v>
      </c>
      <c r="AD37" s="49">
        <f t="shared" si="18"/>
        <v>0</v>
      </c>
      <c r="AE37" s="50">
        <f t="shared" si="19"/>
        <v>0</v>
      </c>
      <c r="AF37" s="186"/>
      <c r="AG37" s="322"/>
      <c r="AH37" s="28">
        <f>IFERROR((SUM(T37:T37)/COUNTIF(T37:T37,"&gt;0")),0)</f>
        <v>16.75</v>
      </c>
      <c r="AI37" s="29">
        <f t="shared" si="32"/>
        <v>16.75</v>
      </c>
      <c r="AJ37" s="29">
        <f t="shared" si="32"/>
        <v>19.138888888888889</v>
      </c>
      <c r="AK37" s="29">
        <f t="shared" si="32"/>
        <v>24</v>
      </c>
      <c r="AL37" s="29">
        <f t="shared" si="32"/>
        <v>24</v>
      </c>
      <c r="AM37" s="29">
        <f t="shared" si="32"/>
        <v>24</v>
      </c>
      <c r="AN37" s="29">
        <f t="shared" si="32"/>
        <v>24</v>
      </c>
      <c r="AO37" s="29">
        <f t="shared" si="32"/>
        <v>0</v>
      </c>
      <c r="AP37" s="29">
        <f t="shared" si="32"/>
        <v>0</v>
      </c>
      <c r="AQ37" s="29">
        <f t="shared" si="32"/>
        <v>0</v>
      </c>
      <c r="AR37" s="29">
        <f t="shared" si="32"/>
        <v>0</v>
      </c>
      <c r="AS37" s="30">
        <f t="shared" si="32"/>
        <v>0</v>
      </c>
      <c r="AT37" s="61">
        <v>193</v>
      </c>
      <c r="AU37" s="31">
        <v>193</v>
      </c>
      <c r="AV37" s="31">
        <v>192</v>
      </c>
      <c r="AW37" s="31">
        <v>192</v>
      </c>
      <c r="AX37" s="31">
        <v>193</v>
      </c>
      <c r="AY37" s="31">
        <v>193</v>
      </c>
      <c r="AZ37" s="31">
        <v>193</v>
      </c>
      <c r="BA37" s="31"/>
      <c r="BB37" s="31"/>
      <c r="BC37" s="31"/>
      <c r="BD37" s="31"/>
      <c r="BE37" s="37"/>
      <c r="BF37" s="138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  <c r="CB37" s="214"/>
      <c r="CC37" s="215"/>
      <c r="CD37" s="202"/>
      <c r="CE37" s="132"/>
      <c r="CF37" s="165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71"/>
      <c r="CR37" s="174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50"/>
      <c r="DD37" s="153"/>
      <c r="DE37" s="138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4"/>
      <c r="DQ37" s="106"/>
      <c r="DR37" s="106"/>
      <c r="DS37" s="106"/>
      <c r="DT37" s="106"/>
      <c r="DU37" s="106"/>
      <c r="DV37" s="106"/>
      <c r="DW37" s="106"/>
      <c r="DX37" s="106"/>
      <c r="DY37" s="106"/>
      <c r="DZ37" s="106"/>
      <c r="EA37" s="106"/>
      <c r="EB37" s="109"/>
      <c r="EC37" s="132"/>
      <c r="EE37" s="114"/>
      <c r="EF37" s="117"/>
    </row>
    <row r="38" spans="1:136" ht="20.25" customHeight="1">
      <c r="A38" s="128"/>
      <c r="B38" s="128"/>
      <c r="C38" s="258"/>
      <c r="D38" s="272"/>
      <c r="E38" s="19" t="s">
        <v>6</v>
      </c>
      <c r="F38" s="76" t="s">
        <v>101</v>
      </c>
      <c r="G38" s="77" t="s">
        <v>104</v>
      </c>
      <c r="H38" s="46">
        <v>0.86250000000000004</v>
      </c>
      <c r="I38" s="46">
        <v>0.86284722222222221</v>
      </c>
      <c r="J38" s="46">
        <v>0.96469907407407407</v>
      </c>
      <c r="K38" s="46">
        <v>1</v>
      </c>
      <c r="L38" s="46">
        <v>1</v>
      </c>
      <c r="M38" s="46">
        <v>1</v>
      </c>
      <c r="N38" s="46">
        <v>1</v>
      </c>
      <c r="O38" s="46"/>
      <c r="P38" s="46"/>
      <c r="Q38" s="46"/>
      <c r="R38" s="46"/>
      <c r="S38" s="47"/>
      <c r="T38" s="48">
        <f>H38*24</f>
        <v>20.700000000000003</v>
      </c>
      <c r="U38" s="49">
        <f>I38*24</f>
        <v>20.708333333333332</v>
      </c>
      <c r="V38" s="49">
        <f t="shared" si="10"/>
        <v>23.152777777777779</v>
      </c>
      <c r="W38" s="49">
        <f t="shared" si="11"/>
        <v>24</v>
      </c>
      <c r="X38" s="49">
        <f t="shared" si="12"/>
        <v>24</v>
      </c>
      <c r="Y38" s="49">
        <f t="shared" si="13"/>
        <v>24</v>
      </c>
      <c r="Z38" s="49">
        <f t="shared" si="14"/>
        <v>24</v>
      </c>
      <c r="AA38" s="49">
        <f t="shared" si="15"/>
        <v>0</v>
      </c>
      <c r="AB38" s="49">
        <f t="shared" si="16"/>
        <v>0</v>
      </c>
      <c r="AC38" s="49">
        <f t="shared" si="17"/>
        <v>0</v>
      </c>
      <c r="AD38" s="49">
        <f t="shared" si="18"/>
        <v>0</v>
      </c>
      <c r="AE38" s="50">
        <f t="shared" si="19"/>
        <v>0</v>
      </c>
      <c r="AF38" s="186"/>
      <c r="AG38" s="322"/>
      <c r="AH38" s="28">
        <f>IFERROR((SUM(T38:T38)/COUNTIF(T38:T38,"&gt;0")),0)</f>
        <v>20.700000000000003</v>
      </c>
      <c r="AI38" s="29">
        <f t="shared" si="32"/>
        <v>20.708333333333332</v>
      </c>
      <c r="AJ38" s="29">
        <f t="shared" si="32"/>
        <v>23.152777777777779</v>
      </c>
      <c r="AK38" s="29">
        <f t="shared" si="32"/>
        <v>24</v>
      </c>
      <c r="AL38" s="29">
        <f t="shared" si="32"/>
        <v>24</v>
      </c>
      <c r="AM38" s="29">
        <f t="shared" si="32"/>
        <v>24</v>
      </c>
      <c r="AN38" s="29">
        <f t="shared" si="32"/>
        <v>24</v>
      </c>
      <c r="AO38" s="29">
        <f t="shared" si="32"/>
        <v>0</v>
      </c>
      <c r="AP38" s="29">
        <f t="shared" si="32"/>
        <v>0</v>
      </c>
      <c r="AQ38" s="29">
        <f t="shared" si="32"/>
        <v>0</v>
      </c>
      <c r="AR38" s="29">
        <f t="shared" si="32"/>
        <v>0</v>
      </c>
      <c r="AS38" s="30">
        <f t="shared" si="32"/>
        <v>0</v>
      </c>
      <c r="AT38" s="61">
        <v>342</v>
      </c>
      <c r="AU38" s="31">
        <v>336</v>
      </c>
      <c r="AV38" s="31">
        <v>334</v>
      </c>
      <c r="AW38" s="31">
        <v>335</v>
      </c>
      <c r="AX38" s="31">
        <v>336</v>
      </c>
      <c r="AY38" s="31">
        <v>338</v>
      </c>
      <c r="AZ38" s="31">
        <v>337</v>
      </c>
      <c r="BA38" s="31"/>
      <c r="BB38" s="31"/>
      <c r="BC38" s="31"/>
      <c r="BD38" s="31"/>
      <c r="BE38" s="37"/>
      <c r="BF38" s="138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5"/>
      <c r="CD38" s="202"/>
      <c r="CE38" s="132"/>
      <c r="CF38" s="165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71"/>
      <c r="CR38" s="174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50"/>
      <c r="DD38" s="153"/>
      <c r="DE38" s="138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4"/>
      <c r="DQ38" s="106"/>
      <c r="DR38" s="106"/>
      <c r="DS38" s="106"/>
      <c r="DT38" s="106"/>
      <c r="DU38" s="106"/>
      <c r="DV38" s="106"/>
      <c r="DW38" s="106"/>
      <c r="DX38" s="106"/>
      <c r="DY38" s="106"/>
      <c r="DZ38" s="106"/>
      <c r="EA38" s="106"/>
      <c r="EB38" s="109"/>
      <c r="EC38" s="132"/>
      <c r="EE38" s="114"/>
      <c r="EF38" s="117"/>
    </row>
    <row r="39" spans="1:136" ht="20.25" customHeight="1">
      <c r="A39" s="128"/>
      <c r="B39" s="128"/>
      <c r="C39" s="258"/>
      <c r="D39" s="260" t="s">
        <v>17</v>
      </c>
      <c r="E39" s="251" t="s">
        <v>4</v>
      </c>
      <c r="F39" s="76" t="s">
        <v>58</v>
      </c>
      <c r="G39" s="77" t="s">
        <v>67</v>
      </c>
      <c r="H39" s="46">
        <v>1</v>
      </c>
      <c r="I39" s="46">
        <v>1</v>
      </c>
      <c r="J39" s="46">
        <v>0.88888888888888884</v>
      </c>
      <c r="K39" s="46">
        <v>1</v>
      </c>
      <c r="L39" s="46">
        <v>1</v>
      </c>
      <c r="M39" s="46">
        <v>1</v>
      </c>
      <c r="N39" s="46">
        <v>1</v>
      </c>
      <c r="O39" s="46"/>
      <c r="P39" s="46"/>
      <c r="Q39" s="46"/>
      <c r="R39" s="46"/>
      <c r="S39" s="47"/>
      <c r="T39" s="48">
        <f t="shared" si="8"/>
        <v>24</v>
      </c>
      <c r="U39" s="49">
        <f t="shared" si="9"/>
        <v>24</v>
      </c>
      <c r="V39" s="49">
        <f t="shared" si="10"/>
        <v>21.333333333333332</v>
      </c>
      <c r="W39" s="49">
        <f t="shared" si="11"/>
        <v>24</v>
      </c>
      <c r="X39" s="49">
        <f t="shared" si="12"/>
        <v>24</v>
      </c>
      <c r="Y39" s="49">
        <f t="shared" si="13"/>
        <v>24</v>
      </c>
      <c r="Z39" s="49">
        <f t="shared" si="14"/>
        <v>24</v>
      </c>
      <c r="AA39" s="49">
        <f t="shared" si="15"/>
        <v>0</v>
      </c>
      <c r="AB39" s="49">
        <f t="shared" si="16"/>
        <v>0</v>
      </c>
      <c r="AC39" s="49">
        <f t="shared" si="17"/>
        <v>0</v>
      </c>
      <c r="AD39" s="49">
        <f t="shared" si="18"/>
        <v>0</v>
      </c>
      <c r="AE39" s="50">
        <f t="shared" si="19"/>
        <v>0</v>
      </c>
      <c r="AF39" s="186"/>
      <c r="AG39" s="322"/>
      <c r="AH39" s="138">
        <f>IFERROR((SUM(T39:T41)/COUNTIF(T39:T41,"&gt;0")),0)</f>
        <v>24</v>
      </c>
      <c r="AI39" s="141">
        <f t="shared" ref="AI39:AS39" si="40">IFERROR((SUM(U39:U41)/COUNTIF(U39:U41,"&gt;0")),0)</f>
        <v>24</v>
      </c>
      <c r="AJ39" s="141">
        <f t="shared" si="40"/>
        <v>21.333333333333332</v>
      </c>
      <c r="AK39" s="141">
        <f t="shared" si="40"/>
        <v>24</v>
      </c>
      <c r="AL39" s="141">
        <f t="shared" si="40"/>
        <v>24</v>
      </c>
      <c r="AM39" s="141">
        <f t="shared" si="40"/>
        <v>24</v>
      </c>
      <c r="AN39" s="141">
        <f t="shared" si="40"/>
        <v>24</v>
      </c>
      <c r="AO39" s="141">
        <f t="shared" si="40"/>
        <v>0</v>
      </c>
      <c r="AP39" s="141">
        <f t="shared" si="40"/>
        <v>0</v>
      </c>
      <c r="AQ39" s="141">
        <f t="shared" si="40"/>
        <v>0</v>
      </c>
      <c r="AR39" s="141">
        <f t="shared" si="40"/>
        <v>0</v>
      </c>
      <c r="AS39" s="144">
        <f t="shared" si="40"/>
        <v>0</v>
      </c>
      <c r="AT39" s="231">
        <v>51</v>
      </c>
      <c r="AU39" s="219">
        <v>50</v>
      </c>
      <c r="AV39" s="219">
        <v>51</v>
      </c>
      <c r="AW39" s="219">
        <v>50</v>
      </c>
      <c r="AX39" s="219">
        <v>51</v>
      </c>
      <c r="AY39" s="219">
        <v>50</v>
      </c>
      <c r="AZ39" s="219">
        <v>51</v>
      </c>
      <c r="BA39" s="219"/>
      <c r="BB39" s="219"/>
      <c r="BC39" s="219"/>
      <c r="BD39" s="219"/>
      <c r="BE39" s="226"/>
      <c r="BF39" s="138">
        <f>IFERROR((((AH39*AT39)+(AH42*AT42)+(AH45*AT45))/SUM(AT39:AT47)),0)</f>
        <v>24</v>
      </c>
      <c r="BG39" s="141">
        <f t="shared" ref="BG39:BQ39" si="41">IFERROR((((AI39*AU39)+(AI42*AU42)+(AI45*AU45))/SUM(AU39:AU47)),0)</f>
        <v>19.82237739919</v>
      </c>
      <c r="BH39" s="141">
        <f t="shared" si="41"/>
        <v>21.945073538982168</v>
      </c>
      <c r="BI39" s="141">
        <f t="shared" si="41"/>
        <v>24</v>
      </c>
      <c r="BJ39" s="141">
        <f t="shared" si="41"/>
        <v>24</v>
      </c>
      <c r="BK39" s="141">
        <f t="shared" si="41"/>
        <v>24</v>
      </c>
      <c r="BL39" s="141">
        <f t="shared" si="41"/>
        <v>24</v>
      </c>
      <c r="BM39" s="141">
        <f t="shared" si="41"/>
        <v>0</v>
      </c>
      <c r="BN39" s="141">
        <f t="shared" si="41"/>
        <v>0</v>
      </c>
      <c r="BO39" s="141">
        <f t="shared" si="41"/>
        <v>0</v>
      </c>
      <c r="BP39" s="141">
        <f t="shared" si="41"/>
        <v>0</v>
      </c>
      <c r="BQ39" s="144">
        <f t="shared" si="41"/>
        <v>0</v>
      </c>
      <c r="BR39" s="193">
        <f>SUM(AT39:AT47)</f>
        <v>2571</v>
      </c>
      <c r="BS39" s="193">
        <f t="shared" ref="BS39:CC39" si="42">SUM(AU39:AU47)</f>
        <v>2524</v>
      </c>
      <c r="BT39" s="193">
        <f t="shared" si="42"/>
        <v>2561</v>
      </c>
      <c r="BU39" s="193">
        <f t="shared" si="42"/>
        <v>2522</v>
      </c>
      <c r="BV39" s="193">
        <f t="shared" si="42"/>
        <v>2558</v>
      </c>
      <c r="BW39" s="193">
        <f t="shared" si="42"/>
        <v>2488</v>
      </c>
      <c r="BX39" s="193">
        <f t="shared" si="42"/>
        <v>2539</v>
      </c>
      <c r="BY39" s="193">
        <f t="shared" si="42"/>
        <v>0</v>
      </c>
      <c r="BZ39" s="193">
        <f t="shared" si="42"/>
        <v>0</v>
      </c>
      <c r="CA39" s="193">
        <f t="shared" si="42"/>
        <v>0</v>
      </c>
      <c r="CB39" s="193">
        <f t="shared" si="42"/>
        <v>0</v>
      </c>
      <c r="CC39" s="196">
        <f t="shared" si="42"/>
        <v>0</v>
      </c>
      <c r="CD39" s="201">
        <f>IFERROR(((BF39*BR39)+(BG39*BS39)+(BH39*BT39)+(BI39*BU39)+(BJ39*BV39)+(BK39*BW39)+(BL39*BX39)+(BM39*BY39)+(BN39*BZ39)+(BO39*CA39)+(BP39*CB39)+(BQ39*CC39))/SUM(BR39:CC47),0)</f>
        <v>23.110117316269147</v>
      </c>
      <c r="CE39" s="132"/>
      <c r="CF39" s="165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71"/>
      <c r="CR39" s="174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50"/>
      <c r="DD39" s="153"/>
      <c r="DE39" s="138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4"/>
      <c r="DQ39" s="106"/>
      <c r="DR39" s="106"/>
      <c r="DS39" s="106"/>
      <c r="DT39" s="106"/>
      <c r="DU39" s="106"/>
      <c r="DV39" s="106"/>
      <c r="DW39" s="106"/>
      <c r="DX39" s="106"/>
      <c r="DY39" s="106"/>
      <c r="DZ39" s="106"/>
      <c r="EA39" s="106"/>
      <c r="EB39" s="109"/>
      <c r="EC39" s="132"/>
      <c r="EE39" s="114"/>
      <c r="EF39" s="117"/>
    </row>
    <row r="40" spans="1:136" ht="20.25" customHeight="1">
      <c r="A40" s="128"/>
      <c r="B40" s="128"/>
      <c r="C40" s="258"/>
      <c r="D40" s="261"/>
      <c r="E40" s="237"/>
      <c r="F40" s="2" t="s">
        <v>59</v>
      </c>
      <c r="G40" s="3" t="s">
        <v>68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7"/>
      <c r="T40" s="48">
        <f t="shared" si="8"/>
        <v>0</v>
      </c>
      <c r="U40" s="49">
        <f t="shared" si="9"/>
        <v>0</v>
      </c>
      <c r="V40" s="49">
        <f t="shared" si="10"/>
        <v>0</v>
      </c>
      <c r="W40" s="49">
        <f t="shared" si="11"/>
        <v>0</v>
      </c>
      <c r="X40" s="49">
        <f t="shared" si="12"/>
        <v>0</v>
      </c>
      <c r="Y40" s="49">
        <f t="shared" si="13"/>
        <v>0</v>
      </c>
      <c r="Z40" s="49">
        <f t="shared" si="14"/>
        <v>0</v>
      </c>
      <c r="AA40" s="49">
        <f t="shared" si="15"/>
        <v>0</v>
      </c>
      <c r="AB40" s="49">
        <f t="shared" si="16"/>
        <v>0</v>
      </c>
      <c r="AC40" s="49">
        <f t="shared" si="17"/>
        <v>0</v>
      </c>
      <c r="AD40" s="49">
        <f t="shared" si="18"/>
        <v>0</v>
      </c>
      <c r="AE40" s="50">
        <f t="shared" si="19"/>
        <v>0</v>
      </c>
      <c r="AF40" s="186"/>
      <c r="AG40" s="322"/>
      <c r="AH40" s="138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4"/>
      <c r="AT40" s="23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4"/>
      <c r="BF40" s="138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4"/>
      <c r="CB40" s="194"/>
      <c r="CC40" s="191"/>
      <c r="CD40" s="199"/>
      <c r="CE40" s="132"/>
      <c r="CF40" s="165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71"/>
      <c r="CR40" s="174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50"/>
      <c r="DD40" s="153"/>
      <c r="DE40" s="138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4"/>
      <c r="DQ40" s="106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9"/>
      <c r="EC40" s="132"/>
      <c r="EE40" s="114"/>
      <c r="EF40" s="117"/>
    </row>
    <row r="41" spans="1:136" ht="20.25" customHeight="1">
      <c r="A41" s="128"/>
      <c r="B41" s="128"/>
      <c r="C41" s="258"/>
      <c r="D41" s="261"/>
      <c r="E41" s="238"/>
      <c r="F41" s="2" t="s">
        <v>60</v>
      </c>
      <c r="G41" s="3" t="s">
        <v>69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  <c r="T41" s="48">
        <f t="shared" si="8"/>
        <v>0</v>
      </c>
      <c r="U41" s="49">
        <f t="shared" si="9"/>
        <v>0</v>
      </c>
      <c r="V41" s="49">
        <f t="shared" si="10"/>
        <v>0</v>
      </c>
      <c r="W41" s="49">
        <f t="shared" si="11"/>
        <v>0</v>
      </c>
      <c r="X41" s="49">
        <f t="shared" si="12"/>
        <v>0</v>
      </c>
      <c r="Y41" s="49">
        <f t="shared" si="13"/>
        <v>0</v>
      </c>
      <c r="Z41" s="49">
        <f t="shared" si="14"/>
        <v>0</v>
      </c>
      <c r="AA41" s="49">
        <f t="shared" si="15"/>
        <v>0</v>
      </c>
      <c r="AB41" s="49">
        <f t="shared" si="16"/>
        <v>0</v>
      </c>
      <c r="AC41" s="49">
        <f t="shared" si="17"/>
        <v>0</v>
      </c>
      <c r="AD41" s="49">
        <f t="shared" si="18"/>
        <v>0</v>
      </c>
      <c r="AE41" s="50">
        <f t="shared" si="19"/>
        <v>0</v>
      </c>
      <c r="AF41" s="186"/>
      <c r="AG41" s="322"/>
      <c r="AH41" s="138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4"/>
      <c r="AT41" s="234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5"/>
      <c r="BF41" s="138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1"/>
      <c r="CD41" s="199"/>
      <c r="CE41" s="132"/>
      <c r="CF41" s="165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71"/>
      <c r="CR41" s="174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50"/>
      <c r="DD41" s="153"/>
      <c r="DE41" s="138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4"/>
      <c r="DQ41" s="106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9"/>
      <c r="EC41" s="132"/>
      <c r="EE41" s="114"/>
      <c r="EF41" s="117"/>
    </row>
    <row r="42" spans="1:136" ht="20.25" customHeight="1">
      <c r="A42" s="128"/>
      <c r="B42" s="128"/>
      <c r="C42" s="258"/>
      <c r="D42" s="261"/>
      <c r="E42" s="239" t="s">
        <v>5</v>
      </c>
      <c r="F42" s="2" t="s">
        <v>61</v>
      </c>
      <c r="G42" s="3" t="s">
        <v>70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7"/>
      <c r="T42" s="48">
        <f t="shared" si="8"/>
        <v>0</v>
      </c>
      <c r="U42" s="49">
        <f t="shared" si="9"/>
        <v>0</v>
      </c>
      <c r="V42" s="49">
        <f t="shared" si="10"/>
        <v>0</v>
      </c>
      <c r="W42" s="49">
        <f t="shared" si="11"/>
        <v>0</v>
      </c>
      <c r="X42" s="49">
        <f t="shared" si="12"/>
        <v>0</v>
      </c>
      <c r="Y42" s="49">
        <f t="shared" si="13"/>
        <v>0</v>
      </c>
      <c r="Z42" s="49">
        <f t="shared" si="14"/>
        <v>0</v>
      </c>
      <c r="AA42" s="49">
        <f t="shared" si="15"/>
        <v>0</v>
      </c>
      <c r="AB42" s="49">
        <f t="shared" si="16"/>
        <v>0</v>
      </c>
      <c r="AC42" s="49">
        <f t="shared" si="17"/>
        <v>0</v>
      </c>
      <c r="AD42" s="49">
        <f t="shared" si="18"/>
        <v>0</v>
      </c>
      <c r="AE42" s="50">
        <f t="shared" si="19"/>
        <v>0</v>
      </c>
      <c r="AF42" s="186"/>
      <c r="AG42" s="322"/>
      <c r="AH42" s="138">
        <f>IFERROR((SUM(T42:T44)/COUNTIF(T42:T44,"&gt;0")),0)</f>
        <v>24</v>
      </c>
      <c r="AI42" s="141">
        <f t="shared" ref="AI42:AS42" si="43">IFERROR((SUM(U42:U44)/COUNTIF(U42:U44,"&gt;0")),0)</f>
        <v>16.263888888888889</v>
      </c>
      <c r="AJ42" s="141">
        <f t="shared" si="43"/>
        <v>21.583333333333332</v>
      </c>
      <c r="AK42" s="141">
        <f t="shared" si="43"/>
        <v>24</v>
      </c>
      <c r="AL42" s="141">
        <f t="shared" si="43"/>
        <v>24</v>
      </c>
      <c r="AM42" s="141">
        <f t="shared" si="43"/>
        <v>24</v>
      </c>
      <c r="AN42" s="141">
        <f t="shared" si="43"/>
        <v>24</v>
      </c>
      <c r="AO42" s="141">
        <f t="shared" si="43"/>
        <v>0</v>
      </c>
      <c r="AP42" s="141">
        <f t="shared" si="43"/>
        <v>0</v>
      </c>
      <c r="AQ42" s="141">
        <f t="shared" si="43"/>
        <v>0</v>
      </c>
      <c r="AR42" s="141">
        <f t="shared" si="43"/>
        <v>0</v>
      </c>
      <c r="AS42" s="144">
        <f t="shared" si="43"/>
        <v>0</v>
      </c>
      <c r="AT42" s="231">
        <v>1389</v>
      </c>
      <c r="AU42" s="219">
        <v>1363</v>
      </c>
      <c r="AV42" s="219">
        <v>1383</v>
      </c>
      <c r="AW42" s="219">
        <v>1362</v>
      </c>
      <c r="AX42" s="219">
        <v>1381</v>
      </c>
      <c r="AY42" s="219">
        <v>1343</v>
      </c>
      <c r="AZ42" s="219">
        <v>1371</v>
      </c>
      <c r="BA42" s="219"/>
      <c r="BB42" s="219"/>
      <c r="BC42" s="219"/>
      <c r="BD42" s="219"/>
      <c r="BE42" s="226"/>
      <c r="BF42" s="138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1"/>
      <c r="CD42" s="199"/>
      <c r="CE42" s="132"/>
      <c r="CF42" s="165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71"/>
      <c r="CR42" s="174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50"/>
      <c r="DD42" s="153"/>
      <c r="DE42" s="138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4"/>
      <c r="DQ42" s="106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9"/>
      <c r="EC42" s="132"/>
      <c r="EE42" s="114"/>
      <c r="EF42" s="117"/>
    </row>
    <row r="43" spans="1:136" ht="20.25" customHeight="1">
      <c r="A43" s="128"/>
      <c r="B43" s="128"/>
      <c r="C43" s="258"/>
      <c r="D43" s="261"/>
      <c r="E43" s="240"/>
      <c r="F43" s="84" t="s">
        <v>62</v>
      </c>
      <c r="G43" s="85" t="s">
        <v>71</v>
      </c>
      <c r="H43" s="46">
        <v>1</v>
      </c>
      <c r="I43" s="46">
        <v>0.67766203703703709</v>
      </c>
      <c r="J43" s="46">
        <v>0.89930555555555547</v>
      </c>
      <c r="K43" s="46">
        <v>1</v>
      </c>
      <c r="L43" s="46">
        <v>1</v>
      </c>
      <c r="M43" s="46">
        <v>1</v>
      </c>
      <c r="N43" s="46">
        <v>1</v>
      </c>
      <c r="O43" s="46"/>
      <c r="P43" s="46"/>
      <c r="Q43" s="46"/>
      <c r="R43" s="46"/>
      <c r="S43" s="47"/>
      <c r="T43" s="48">
        <f t="shared" si="8"/>
        <v>24</v>
      </c>
      <c r="U43" s="49">
        <f t="shared" si="9"/>
        <v>16.263888888888889</v>
      </c>
      <c r="V43" s="49">
        <f t="shared" si="10"/>
        <v>21.583333333333332</v>
      </c>
      <c r="W43" s="49">
        <f t="shared" si="11"/>
        <v>24</v>
      </c>
      <c r="X43" s="49">
        <f t="shared" si="12"/>
        <v>24</v>
      </c>
      <c r="Y43" s="49">
        <f t="shared" si="13"/>
        <v>24</v>
      </c>
      <c r="Z43" s="49">
        <f t="shared" si="14"/>
        <v>24</v>
      </c>
      <c r="AA43" s="49">
        <f t="shared" si="15"/>
        <v>0</v>
      </c>
      <c r="AB43" s="49">
        <f t="shared" si="16"/>
        <v>0</v>
      </c>
      <c r="AC43" s="49">
        <f t="shared" si="17"/>
        <v>0</v>
      </c>
      <c r="AD43" s="49">
        <f t="shared" si="18"/>
        <v>0</v>
      </c>
      <c r="AE43" s="50">
        <f t="shared" si="19"/>
        <v>0</v>
      </c>
      <c r="AF43" s="186"/>
      <c r="AG43" s="322"/>
      <c r="AH43" s="138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4"/>
      <c r="AT43" s="23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4"/>
      <c r="BF43" s="138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4"/>
      <c r="BR43" s="194"/>
      <c r="BS43" s="194"/>
      <c r="BT43" s="194"/>
      <c r="BU43" s="194"/>
      <c r="BV43" s="194"/>
      <c r="BW43" s="194"/>
      <c r="BX43" s="194"/>
      <c r="BY43" s="194"/>
      <c r="BZ43" s="194"/>
      <c r="CA43" s="194"/>
      <c r="CB43" s="194"/>
      <c r="CC43" s="191"/>
      <c r="CD43" s="199"/>
      <c r="CE43" s="132"/>
      <c r="CF43" s="165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71"/>
      <c r="CR43" s="174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50"/>
      <c r="DD43" s="153"/>
      <c r="DE43" s="138"/>
      <c r="DF43" s="141"/>
      <c r="DG43" s="141"/>
      <c r="DH43" s="141"/>
      <c r="DI43" s="141"/>
      <c r="DJ43" s="141"/>
      <c r="DK43" s="141"/>
      <c r="DL43" s="141"/>
      <c r="DM43" s="141"/>
      <c r="DN43" s="141"/>
      <c r="DO43" s="141"/>
      <c r="DP43" s="144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9"/>
      <c r="EC43" s="132"/>
      <c r="EE43" s="114"/>
      <c r="EF43" s="117"/>
    </row>
    <row r="44" spans="1:136" ht="20.25" customHeight="1">
      <c r="A44" s="128"/>
      <c r="B44" s="128"/>
      <c r="C44" s="258"/>
      <c r="D44" s="261"/>
      <c r="E44" s="241"/>
      <c r="F44" s="2" t="s">
        <v>63</v>
      </c>
      <c r="G44" s="3" t="s">
        <v>72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7"/>
      <c r="T44" s="48">
        <f t="shared" si="8"/>
        <v>0</v>
      </c>
      <c r="U44" s="49">
        <f t="shared" si="9"/>
        <v>0</v>
      </c>
      <c r="V44" s="49">
        <f t="shared" si="10"/>
        <v>0</v>
      </c>
      <c r="W44" s="49">
        <f t="shared" si="11"/>
        <v>0</v>
      </c>
      <c r="X44" s="49">
        <f t="shared" si="12"/>
        <v>0</v>
      </c>
      <c r="Y44" s="49">
        <f t="shared" si="13"/>
        <v>0</v>
      </c>
      <c r="Z44" s="49">
        <f t="shared" si="14"/>
        <v>0</v>
      </c>
      <c r="AA44" s="49">
        <f t="shared" si="15"/>
        <v>0</v>
      </c>
      <c r="AB44" s="49">
        <f t="shared" si="16"/>
        <v>0</v>
      </c>
      <c r="AC44" s="49">
        <f t="shared" si="17"/>
        <v>0</v>
      </c>
      <c r="AD44" s="49">
        <f t="shared" si="18"/>
        <v>0</v>
      </c>
      <c r="AE44" s="50">
        <f t="shared" si="19"/>
        <v>0</v>
      </c>
      <c r="AF44" s="186"/>
      <c r="AG44" s="322"/>
      <c r="AH44" s="138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4"/>
      <c r="AT44" s="234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5"/>
      <c r="BF44" s="138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4"/>
      <c r="CB44" s="194"/>
      <c r="CC44" s="191"/>
      <c r="CD44" s="199"/>
      <c r="CE44" s="132"/>
      <c r="CF44" s="165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71"/>
      <c r="CR44" s="174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50"/>
      <c r="DD44" s="153"/>
      <c r="DE44" s="138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4"/>
      <c r="DQ44" s="106"/>
      <c r="DR44" s="106"/>
      <c r="DS44" s="106"/>
      <c r="DT44" s="106"/>
      <c r="DU44" s="106"/>
      <c r="DV44" s="106"/>
      <c r="DW44" s="106"/>
      <c r="DX44" s="106"/>
      <c r="DY44" s="106"/>
      <c r="DZ44" s="106"/>
      <c r="EA44" s="106"/>
      <c r="EB44" s="109"/>
      <c r="EC44" s="132"/>
      <c r="EE44" s="114"/>
      <c r="EF44" s="117"/>
    </row>
    <row r="45" spans="1:136" ht="20.25" customHeight="1">
      <c r="A45" s="128"/>
      <c r="B45" s="128"/>
      <c r="C45" s="258"/>
      <c r="D45" s="261"/>
      <c r="E45" s="242" t="s">
        <v>6</v>
      </c>
      <c r="F45" s="2" t="s">
        <v>64</v>
      </c>
      <c r="G45" s="3" t="s">
        <v>73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7"/>
      <c r="T45" s="48">
        <f t="shared" si="8"/>
        <v>0</v>
      </c>
      <c r="U45" s="49">
        <f t="shared" si="9"/>
        <v>0</v>
      </c>
      <c r="V45" s="49">
        <f t="shared" si="10"/>
        <v>0</v>
      </c>
      <c r="W45" s="49">
        <f t="shared" si="11"/>
        <v>0</v>
      </c>
      <c r="X45" s="49">
        <f t="shared" si="12"/>
        <v>0</v>
      </c>
      <c r="Y45" s="49">
        <f t="shared" si="13"/>
        <v>0</v>
      </c>
      <c r="Z45" s="49">
        <f t="shared" si="14"/>
        <v>0</v>
      </c>
      <c r="AA45" s="49">
        <f t="shared" si="15"/>
        <v>0</v>
      </c>
      <c r="AB45" s="49">
        <f t="shared" si="16"/>
        <v>0</v>
      </c>
      <c r="AC45" s="49">
        <f t="shared" si="17"/>
        <v>0</v>
      </c>
      <c r="AD45" s="49">
        <f t="shared" si="18"/>
        <v>0</v>
      </c>
      <c r="AE45" s="50">
        <f t="shared" si="19"/>
        <v>0</v>
      </c>
      <c r="AF45" s="186"/>
      <c r="AG45" s="322"/>
      <c r="AH45" s="138">
        <f>IFERROR((SUM(T45:T47)/COUNTIF(T45:T47,"&gt;0")),0)</f>
        <v>24</v>
      </c>
      <c r="AI45" s="141">
        <f t="shared" ref="AI45:AS45" si="44">IFERROR((SUM(U45:U47)/COUNTIF(U45:U47,"&gt;0")),0)</f>
        <v>24</v>
      </c>
      <c r="AJ45" s="141">
        <f t="shared" si="44"/>
        <v>22.416666666666668</v>
      </c>
      <c r="AK45" s="141">
        <f t="shared" si="44"/>
        <v>24</v>
      </c>
      <c r="AL45" s="141">
        <f t="shared" si="44"/>
        <v>24</v>
      </c>
      <c r="AM45" s="141">
        <f t="shared" si="44"/>
        <v>24</v>
      </c>
      <c r="AN45" s="141">
        <f t="shared" si="44"/>
        <v>24</v>
      </c>
      <c r="AO45" s="141">
        <f t="shared" si="44"/>
        <v>0</v>
      </c>
      <c r="AP45" s="141">
        <f t="shared" si="44"/>
        <v>0</v>
      </c>
      <c r="AQ45" s="141">
        <f t="shared" si="44"/>
        <v>0</v>
      </c>
      <c r="AR45" s="141">
        <f t="shared" si="44"/>
        <v>0</v>
      </c>
      <c r="AS45" s="144">
        <f t="shared" si="44"/>
        <v>0</v>
      </c>
      <c r="AT45" s="231">
        <v>1131</v>
      </c>
      <c r="AU45" s="219">
        <v>1111</v>
      </c>
      <c r="AV45" s="219">
        <v>1127</v>
      </c>
      <c r="AW45" s="219">
        <v>1110</v>
      </c>
      <c r="AX45" s="219">
        <v>1126</v>
      </c>
      <c r="AY45" s="219">
        <v>1095</v>
      </c>
      <c r="AZ45" s="219">
        <v>1117</v>
      </c>
      <c r="BA45" s="219"/>
      <c r="BB45" s="219"/>
      <c r="BC45" s="219"/>
      <c r="BD45" s="219"/>
      <c r="BE45" s="226"/>
      <c r="BF45" s="138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4"/>
      <c r="CB45" s="194"/>
      <c r="CC45" s="191"/>
      <c r="CD45" s="199"/>
      <c r="CE45" s="132"/>
      <c r="CF45" s="165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71"/>
      <c r="CR45" s="174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50"/>
      <c r="DD45" s="153"/>
      <c r="DE45" s="138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4"/>
      <c r="DQ45" s="106"/>
      <c r="DR45" s="106"/>
      <c r="DS45" s="106"/>
      <c r="DT45" s="106"/>
      <c r="DU45" s="106"/>
      <c r="DV45" s="106"/>
      <c r="DW45" s="106"/>
      <c r="DX45" s="106"/>
      <c r="DY45" s="106"/>
      <c r="DZ45" s="106"/>
      <c r="EA45" s="106"/>
      <c r="EB45" s="109"/>
      <c r="EC45" s="132"/>
      <c r="EE45" s="114"/>
      <c r="EF45" s="117"/>
    </row>
    <row r="46" spans="1:136" ht="20.25" customHeight="1">
      <c r="A46" s="128"/>
      <c r="B46" s="128"/>
      <c r="C46" s="258"/>
      <c r="D46" s="261"/>
      <c r="E46" s="243"/>
      <c r="F46" s="2" t="s">
        <v>65</v>
      </c>
      <c r="G46" s="3" t="s">
        <v>74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7"/>
      <c r="T46" s="48">
        <f t="shared" si="8"/>
        <v>0</v>
      </c>
      <c r="U46" s="49">
        <f t="shared" si="9"/>
        <v>0</v>
      </c>
      <c r="V46" s="49">
        <f t="shared" si="10"/>
        <v>0</v>
      </c>
      <c r="W46" s="49">
        <f t="shared" si="11"/>
        <v>0</v>
      </c>
      <c r="X46" s="49">
        <f t="shared" si="12"/>
        <v>0</v>
      </c>
      <c r="Y46" s="49">
        <f t="shared" si="13"/>
        <v>0</v>
      </c>
      <c r="Z46" s="49">
        <f t="shared" si="14"/>
        <v>0</v>
      </c>
      <c r="AA46" s="49">
        <f t="shared" si="15"/>
        <v>0</v>
      </c>
      <c r="AB46" s="49">
        <f t="shared" si="16"/>
        <v>0</v>
      </c>
      <c r="AC46" s="49">
        <f t="shared" si="17"/>
        <v>0</v>
      </c>
      <c r="AD46" s="49">
        <f t="shared" si="18"/>
        <v>0</v>
      </c>
      <c r="AE46" s="50">
        <f t="shared" si="19"/>
        <v>0</v>
      </c>
      <c r="AF46" s="186"/>
      <c r="AG46" s="322"/>
      <c r="AH46" s="138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4"/>
      <c r="AT46" s="23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4"/>
      <c r="BF46" s="138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4"/>
      <c r="CB46" s="194"/>
      <c r="CC46" s="191"/>
      <c r="CD46" s="199"/>
      <c r="CE46" s="132"/>
      <c r="CF46" s="165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71"/>
      <c r="CR46" s="174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50"/>
      <c r="DD46" s="153"/>
      <c r="DE46" s="138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4"/>
      <c r="DQ46" s="106"/>
      <c r="DR46" s="106"/>
      <c r="DS46" s="106"/>
      <c r="DT46" s="106"/>
      <c r="DU46" s="106"/>
      <c r="DV46" s="106"/>
      <c r="DW46" s="106"/>
      <c r="DX46" s="106"/>
      <c r="DY46" s="106"/>
      <c r="DZ46" s="106"/>
      <c r="EA46" s="106"/>
      <c r="EB46" s="109"/>
      <c r="EC46" s="132"/>
      <c r="EE46" s="114"/>
      <c r="EF46" s="117"/>
    </row>
    <row r="47" spans="1:136" ht="20.25" customHeight="1" thickBot="1">
      <c r="A47" s="128"/>
      <c r="B47" s="128"/>
      <c r="C47" s="259"/>
      <c r="D47" s="262"/>
      <c r="E47" s="244"/>
      <c r="F47" s="86" t="s">
        <v>66</v>
      </c>
      <c r="G47" s="87" t="s">
        <v>75</v>
      </c>
      <c r="H47" s="51">
        <v>1</v>
      </c>
      <c r="I47" s="51">
        <v>1</v>
      </c>
      <c r="J47" s="51">
        <v>0.93402777777777779</v>
      </c>
      <c r="K47" s="46">
        <v>1</v>
      </c>
      <c r="L47" s="46">
        <v>1</v>
      </c>
      <c r="M47" s="51">
        <v>1</v>
      </c>
      <c r="N47" s="51">
        <v>1</v>
      </c>
      <c r="O47" s="51"/>
      <c r="P47" s="51"/>
      <c r="Q47" s="51"/>
      <c r="R47" s="51"/>
      <c r="S47" s="52"/>
      <c r="T47" s="53">
        <f t="shared" si="8"/>
        <v>24</v>
      </c>
      <c r="U47" s="54">
        <f t="shared" si="9"/>
        <v>24</v>
      </c>
      <c r="V47" s="54">
        <f t="shared" si="10"/>
        <v>22.416666666666668</v>
      </c>
      <c r="W47" s="54">
        <f t="shared" si="11"/>
        <v>24</v>
      </c>
      <c r="X47" s="54">
        <f t="shared" si="12"/>
        <v>24</v>
      </c>
      <c r="Y47" s="54">
        <f t="shared" si="13"/>
        <v>24</v>
      </c>
      <c r="Z47" s="54">
        <f t="shared" si="14"/>
        <v>24</v>
      </c>
      <c r="AA47" s="54">
        <f t="shared" si="15"/>
        <v>0</v>
      </c>
      <c r="AB47" s="54">
        <f t="shared" si="16"/>
        <v>0</v>
      </c>
      <c r="AC47" s="54">
        <f t="shared" si="17"/>
        <v>0</v>
      </c>
      <c r="AD47" s="54">
        <f t="shared" si="18"/>
        <v>0</v>
      </c>
      <c r="AE47" s="55">
        <f t="shared" si="19"/>
        <v>0</v>
      </c>
      <c r="AF47" s="186"/>
      <c r="AG47" s="322"/>
      <c r="AH47" s="139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5"/>
      <c r="AT47" s="233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30"/>
      <c r="BF47" s="139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5"/>
      <c r="BR47" s="195"/>
      <c r="BS47" s="195"/>
      <c r="BT47" s="195"/>
      <c r="BU47" s="195"/>
      <c r="BV47" s="195"/>
      <c r="BW47" s="195"/>
      <c r="BX47" s="195"/>
      <c r="BY47" s="195"/>
      <c r="BZ47" s="195"/>
      <c r="CA47" s="195"/>
      <c r="CB47" s="195"/>
      <c r="CC47" s="197"/>
      <c r="CD47" s="200"/>
      <c r="CE47" s="133"/>
      <c r="CF47" s="165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71"/>
      <c r="CR47" s="174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50"/>
      <c r="DD47" s="153"/>
      <c r="DE47" s="138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4"/>
      <c r="DQ47" s="106"/>
      <c r="DR47" s="106"/>
      <c r="DS47" s="106"/>
      <c r="DT47" s="106"/>
      <c r="DU47" s="106"/>
      <c r="DV47" s="106"/>
      <c r="DW47" s="106"/>
      <c r="DX47" s="106"/>
      <c r="DY47" s="106"/>
      <c r="DZ47" s="106"/>
      <c r="EA47" s="106"/>
      <c r="EB47" s="109"/>
      <c r="EC47" s="132"/>
      <c r="EE47" s="114"/>
      <c r="EF47" s="117"/>
    </row>
    <row r="48" spans="1:136" ht="20.25" customHeight="1">
      <c r="A48" s="128"/>
      <c r="B48" s="128"/>
      <c r="C48" s="182" t="s">
        <v>18</v>
      </c>
      <c r="D48" s="271" t="s">
        <v>19</v>
      </c>
      <c r="E48" s="16" t="s">
        <v>4</v>
      </c>
      <c r="F48" s="78" t="s">
        <v>94</v>
      </c>
      <c r="G48" s="79" t="s">
        <v>97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/>
      <c r="P48" s="41"/>
      <c r="Q48" s="41"/>
      <c r="R48" s="41"/>
      <c r="S48" s="42"/>
      <c r="T48" s="43">
        <f t="shared" si="8"/>
        <v>24</v>
      </c>
      <c r="U48" s="90">
        <f>I48*24</f>
        <v>24</v>
      </c>
      <c r="V48" s="90">
        <f t="shared" si="10"/>
        <v>24</v>
      </c>
      <c r="W48" s="90">
        <f t="shared" si="11"/>
        <v>24</v>
      </c>
      <c r="X48" s="90">
        <f t="shared" si="12"/>
        <v>24</v>
      </c>
      <c r="Y48" s="90">
        <f t="shared" si="13"/>
        <v>24</v>
      </c>
      <c r="Z48" s="90">
        <f t="shared" si="14"/>
        <v>24</v>
      </c>
      <c r="AA48" s="90">
        <f t="shared" si="15"/>
        <v>0</v>
      </c>
      <c r="AB48" s="90">
        <f t="shared" si="16"/>
        <v>0</v>
      </c>
      <c r="AC48" s="44">
        <f t="shared" si="17"/>
        <v>0</v>
      </c>
      <c r="AD48" s="44">
        <f t="shared" si="18"/>
        <v>0</v>
      </c>
      <c r="AE48" s="45">
        <f t="shared" si="19"/>
        <v>0</v>
      </c>
      <c r="AF48" s="186"/>
      <c r="AG48" s="322"/>
      <c r="AH48" s="24">
        <f t="shared" ref="AH48:AH53" si="45">IFERROR((SUM(T48:T48)/COUNTIF(T48:T48,"&gt;0")),0)</f>
        <v>24</v>
      </c>
      <c r="AI48" s="25">
        <f t="shared" ref="AI48:AS53" si="46">IFERROR((SUM(U48:U48)/COUNTIF(U48:U48,"&gt;0")),0)</f>
        <v>24</v>
      </c>
      <c r="AJ48" s="25">
        <f t="shared" si="46"/>
        <v>24</v>
      </c>
      <c r="AK48" s="25">
        <f t="shared" si="46"/>
        <v>24</v>
      </c>
      <c r="AL48" s="25">
        <f t="shared" si="46"/>
        <v>24</v>
      </c>
      <c r="AM48" s="25">
        <f t="shared" si="46"/>
        <v>24</v>
      </c>
      <c r="AN48" s="25">
        <f t="shared" si="46"/>
        <v>24</v>
      </c>
      <c r="AO48" s="25">
        <f t="shared" si="46"/>
        <v>0</v>
      </c>
      <c r="AP48" s="25">
        <f t="shared" si="46"/>
        <v>0</v>
      </c>
      <c r="AQ48" s="25">
        <f t="shared" si="46"/>
        <v>0</v>
      </c>
      <c r="AR48" s="25">
        <f t="shared" si="46"/>
        <v>0</v>
      </c>
      <c r="AS48" s="26">
        <f t="shared" si="46"/>
        <v>0</v>
      </c>
      <c r="AT48" s="60">
        <v>92</v>
      </c>
      <c r="AU48" s="27">
        <v>91</v>
      </c>
      <c r="AV48" s="27">
        <v>91</v>
      </c>
      <c r="AW48" s="27">
        <v>90</v>
      </c>
      <c r="AX48" s="27">
        <v>92</v>
      </c>
      <c r="AY48" s="27">
        <v>91</v>
      </c>
      <c r="AZ48" s="27">
        <v>92</v>
      </c>
      <c r="BA48" s="27"/>
      <c r="BB48" s="27"/>
      <c r="BC48" s="27"/>
      <c r="BD48" s="27"/>
      <c r="BE48" s="38"/>
      <c r="BF48" s="137">
        <f>IFERROR((((AH48*AT48)+(AH49*AT49)+(AH50*AT50))/SUM(AT48:AT50)),0)</f>
        <v>23.907692307692308</v>
      </c>
      <c r="BG48" s="140">
        <f t="shared" ref="BG48:BQ48" si="47">IFERROR((((AI48*AU48)+(AI49*AU49)+(AI50*AU50))/SUM(AU48:AU50)),0)</f>
        <v>24</v>
      </c>
      <c r="BH48" s="140">
        <f t="shared" si="47"/>
        <v>24</v>
      </c>
      <c r="BI48" s="140">
        <f>IFERROR((((AK48*AW48)+(AK49*AW49)+(AK50*AW50))/SUM(AW48:AW50)),0)</f>
        <v>24</v>
      </c>
      <c r="BJ48" s="140">
        <f t="shared" si="47"/>
        <v>24</v>
      </c>
      <c r="BK48" s="140">
        <f t="shared" si="47"/>
        <v>24</v>
      </c>
      <c r="BL48" s="140">
        <f t="shared" si="47"/>
        <v>24</v>
      </c>
      <c r="BM48" s="140">
        <f t="shared" si="47"/>
        <v>0</v>
      </c>
      <c r="BN48" s="140">
        <f t="shared" si="47"/>
        <v>0</v>
      </c>
      <c r="BO48" s="140">
        <f t="shared" si="47"/>
        <v>0</v>
      </c>
      <c r="BP48" s="140">
        <f t="shared" si="47"/>
        <v>0</v>
      </c>
      <c r="BQ48" s="143">
        <f t="shared" si="47"/>
        <v>0</v>
      </c>
      <c r="BR48" s="264">
        <f>SUM(AT48:AT50)</f>
        <v>130</v>
      </c>
      <c r="BS48" s="264">
        <f t="shared" ref="BS48:CC48" si="48">SUM(AU48:AU50)</f>
        <v>128</v>
      </c>
      <c r="BT48" s="264">
        <f t="shared" si="48"/>
        <v>128</v>
      </c>
      <c r="BU48" s="264">
        <f t="shared" si="48"/>
        <v>127</v>
      </c>
      <c r="BV48" s="264">
        <f t="shared" si="48"/>
        <v>130</v>
      </c>
      <c r="BW48" s="264">
        <f t="shared" si="48"/>
        <v>128</v>
      </c>
      <c r="BX48" s="264">
        <f t="shared" si="48"/>
        <v>129</v>
      </c>
      <c r="BY48" s="264">
        <f t="shared" si="48"/>
        <v>0</v>
      </c>
      <c r="BZ48" s="264">
        <f t="shared" si="48"/>
        <v>0</v>
      </c>
      <c r="CA48" s="264">
        <f t="shared" si="48"/>
        <v>0</v>
      </c>
      <c r="CB48" s="264">
        <f t="shared" si="48"/>
        <v>0</v>
      </c>
      <c r="CC48" s="274">
        <f t="shared" si="48"/>
        <v>0</v>
      </c>
      <c r="CD48" s="277">
        <f>IFERROR(((BF48*BR48)+(BG48*BS48)+(BH48*BT48)+(BI48*BU48)+(BJ48*BV48)+(BK48*BW48)+(BL48*BX48)+(BM48*BY48)+(BN48*BZ48)+(BO48*CA48)+(BP48*CB48)+(BQ48*CC48))/SUM(BR48:CC50),0)</f>
        <v>23.986666666666668</v>
      </c>
      <c r="CE48" s="131">
        <f>IFERROR(((CD48*(SUM(BR48:CC50)))+(CD51*(SUM(BR51:CC53))))/(SUM(BR48:CC53)),0)</f>
        <v>23.66899160753054</v>
      </c>
      <c r="CF48" s="165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71"/>
      <c r="CR48" s="174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50"/>
      <c r="DD48" s="153"/>
      <c r="DE48" s="138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4"/>
      <c r="DQ48" s="106"/>
      <c r="DR48" s="106"/>
      <c r="DS48" s="106"/>
      <c r="DT48" s="106"/>
      <c r="DU48" s="106"/>
      <c r="DV48" s="106"/>
      <c r="DW48" s="106"/>
      <c r="DX48" s="106"/>
      <c r="DY48" s="106"/>
      <c r="DZ48" s="106"/>
      <c r="EA48" s="106"/>
      <c r="EB48" s="109"/>
      <c r="EC48" s="132"/>
      <c r="EE48" s="114"/>
      <c r="EF48" s="117"/>
    </row>
    <row r="49" spans="1:136" ht="20.25" customHeight="1">
      <c r="A49" s="128"/>
      <c r="B49" s="128"/>
      <c r="C49" s="183"/>
      <c r="D49" s="272"/>
      <c r="E49" s="18" t="s">
        <v>5</v>
      </c>
      <c r="F49" s="76" t="s">
        <v>95</v>
      </c>
      <c r="G49" s="77" t="s">
        <v>98</v>
      </c>
      <c r="H49" s="46">
        <v>1</v>
      </c>
      <c r="I49" s="56">
        <v>1</v>
      </c>
      <c r="J49" s="46">
        <v>1</v>
      </c>
      <c r="K49" s="46">
        <v>1</v>
      </c>
      <c r="L49" s="46">
        <v>1</v>
      </c>
      <c r="M49" s="46">
        <v>1</v>
      </c>
      <c r="N49" s="46">
        <v>1</v>
      </c>
      <c r="O49" s="46"/>
      <c r="P49" s="46"/>
      <c r="Q49" s="46"/>
      <c r="R49" s="46"/>
      <c r="S49" s="47"/>
      <c r="T49" s="48">
        <f t="shared" si="8"/>
        <v>24</v>
      </c>
      <c r="U49" s="49">
        <f>I49*24</f>
        <v>24</v>
      </c>
      <c r="V49" s="49">
        <f t="shared" si="10"/>
        <v>24</v>
      </c>
      <c r="W49" s="49">
        <f t="shared" si="11"/>
        <v>24</v>
      </c>
      <c r="X49" s="49">
        <f t="shared" si="12"/>
        <v>24</v>
      </c>
      <c r="Y49" s="49">
        <f t="shared" si="13"/>
        <v>24</v>
      </c>
      <c r="Z49" s="49">
        <f t="shared" si="14"/>
        <v>24</v>
      </c>
      <c r="AA49" s="49">
        <f t="shared" si="15"/>
        <v>0</v>
      </c>
      <c r="AB49" s="49">
        <f t="shared" si="16"/>
        <v>0</v>
      </c>
      <c r="AC49" s="49">
        <f t="shared" si="17"/>
        <v>0</v>
      </c>
      <c r="AD49" s="49">
        <f t="shared" si="18"/>
        <v>0</v>
      </c>
      <c r="AE49" s="50">
        <f t="shared" si="19"/>
        <v>0</v>
      </c>
      <c r="AF49" s="186"/>
      <c r="AG49" s="322"/>
      <c r="AH49" s="28">
        <f t="shared" si="45"/>
        <v>24</v>
      </c>
      <c r="AI49" s="29">
        <f t="shared" si="46"/>
        <v>24</v>
      </c>
      <c r="AJ49" s="29">
        <f t="shared" si="46"/>
        <v>24</v>
      </c>
      <c r="AK49" s="29">
        <f t="shared" si="46"/>
        <v>24</v>
      </c>
      <c r="AL49" s="29">
        <f t="shared" si="46"/>
        <v>24</v>
      </c>
      <c r="AM49" s="29">
        <f t="shared" si="46"/>
        <v>24</v>
      </c>
      <c r="AN49" s="29">
        <f t="shared" si="46"/>
        <v>24</v>
      </c>
      <c r="AO49" s="29">
        <f t="shared" si="46"/>
        <v>0</v>
      </c>
      <c r="AP49" s="29">
        <f t="shared" si="46"/>
        <v>0</v>
      </c>
      <c r="AQ49" s="29">
        <f t="shared" si="46"/>
        <v>0</v>
      </c>
      <c r="AR49" s="29">
        <f t="shared" si="46"/>
        <v>0</v>
      </c>
      <c r="AS49" s="30">
        <f t="shared" si="46"/>
        <v>0</v>
      </c>
      <c r="AT49" s="61">
        <v>34</v>
      </c>
      <c r="AU49" s="31">
        <v>33</v>
      </c>
      <c r="AV49" s="31">
        <v>33</v>
      </c>
      <c r="AW49" s="31">
        <v>33</v>
      </c>
      <c r="AX49" s="31">
        <v>34</v>
      </c>
      <c r="AY49" s="31">
        <v>33</v>
      </c>
      <c r="AZ49" s="31">
        <v>33</v>
      </c>
      <c r="BA49" s="31"/>
      <c r="BB49" s="31"/>
      <c r="BC49" s="31"/>
      <c r="BD49" s="31"/>
      <c r="BE49" s="37"/>
      <c r="BF49" s="138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  <c r="CB49" s="214"/>
      <c r="CC49" s="275"/>
      <c r="CD49" s="278"/>
      <c r="CE49" s="132"/>
      <c r="CF49" s="165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71"/>
      <c r="CR49" s="174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50"/>
      <c r="DD49" s="153"/>
      <c r="DE49" s="138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4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9"/>
      <c r="EC49" s="132"/>
      <c r="EE49" s="114"/>
      <c r="EF49" s="117"/>
    </row>
    <row r="50" spans="1:136" ht="20.25" customHeight="1">
      <c r="A50" s="128"/>
      <c r="B50" s="128"/>
      <c r="C50" s="183"/>
      <c r="D50" s="250"/>
      <c r="E50" s="21" t="s">
        <v>6</v>
      </c>
      <c r="F50" s="88" t="s">
        <v>96</v>
      </c>
      <c r="G50" s="89" t="s">
        <v>99</v>
      </c>
      <c r="H50" s="56">
        <v>0.875</v>
      </c>
      <c r="I50" s="46">
        <v>1</v>
      </c>
      <c r="J50" s="56">
        <v>1</v>
      </c>
      <c r="K50" s="56">
        <v>1</v>
      </c>
      <c r="L50" s="56">
        <v>1</v>
      </c>
      <c r="M50" s="56">
        <v>1</v>
      </c>
      <c r="N50" s="56">
        <v>1</v>
      </c>
      <c r="O50" s="56"/>
      <c r="P50" s="56"/>
      <c r="Q50" s="56"/>
      <c r="R50" s="56"/>
      <c r="S50" s="57"/>
      <c r="T50" s="48">
        <f t="shared" si="8"/>
        <v>21</v>
      </c>
      <c r="U50" s="49">
        <f>I50*24</f>
        <v>24</v>
      </c>
      <c r="V50" s="49">
        <f t="shared" si="10"/>
        <v>24</v>
      </c>
      <c r="W50" s="49">
        <f t="shared" si="11"/>
        <v>24</v>
      </c>
      <c r="X50" s="49">
        <f t="shared" si="12"/>
        <v>24</v>
      </c>
      <c r="Y50" s="49">
        <f t="shared" si="13"/>
        <v>24</v>
      </c>
      <c r="Z50" s="49">
        <f t="shared" si="14"/>
        <v>24</v>
      </c>
      <c r="AA50" s="49">
        <f t="shared" si="15"/>
        <v>0</v>
      </c>
      <c r="AB50" s="49">
        <f t="shared" si="16"/>
        <v>0</v>
      </c>
      <c r="AC50" s="49">
        <f t="shared" si="17"/>
        <v>0</v>
      </c>
      <c r="AD50" s="49">
        <f t="shared" si="18"/>
        <v>0</v>
      </c>
      <c r="AE50" s="50">
        <f t="shared" si="19"/>
        <v>0</v>
      </c>
      <c r="AF50" s="186"/>
      <c r="AG50" s="322"/>
      <c r="AH50" s="28">
        <f t="shared" si="45"/>
        <v>21</v>
      </c>
      <c r="AI50" s="29">
        <f t="shared" si="46"/>
        <v>24</v>
      </c>
      <c r="AJ50" s="29">
        <f t="shared" si="46"/>
        <v>24</v>
      </c>
      <c r="AK50" s="29">
        <f t="shared" si="46"/>
        <v>24</v>
      </c>
      <c r="AL50" s="29">
        <f t="shared" si="46"/>
        <v>24</v>
      </c>
      <c r="AM50" s="29">
        <f t="shared" si="46"/>
        <v>24</v>
      </c>
      <c r="AN50" s="29">
        <f t="shared" si="46"/>
        <v>24</v>
      </c>
      <c r="AO50" s="29">
        <f t="shared" si="46"/>
        <v>0</v>
      </c>
      <c r="AP50" s="29">
        <f t="shared" si="46"/>
        <v>0</v>
      </c>
      <c r="AQ50" s="29">
        <f t="shared" si="46"/>
        <v>0</v>
      </c>
      <c r="AR50" s="29">
        <f t="shared" si="46"/>
        <v>0</v>
      </c>
      <c r="AS50" s="30">
        <f t="shared" si="46"/>
        <v>0</v>
      </c>
      <c r="AT50" s="62">
        <v>4</v>
      </c>
      <c r="AU50" s="35">
        <v>4</v>
      </c>
      <c r="AV50" s="35">
        <v>4</v>
      </c>
      <c r="AW50" s="35">
        <v>4</v>
      </c>
      <c r="AX50" s="35">
        <v>4</v>
      </c>
      <c r="AY50" s="35">
        <v>4</v>
      </c>
      <c r="AZ50" s="35">
        <v>4</v>
      </c>
      <c r="BA50" s="35"/>
      <c r="BB50" s="35"/>
      <c r="BC50" s="35"/>
      <c r="BD50" s="35"/>
      <c r="BE50" s="36"/>
      <c r="BF50" s="138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4"/>
      <c r="BR50" s="193"/>
      <c r="BS50" s="193"/>
      <c r="BT50" s="193"/>
      <c r="BU50" s="193"/>
      <c r="BV50" s="193"/>
      <c r="BW50" s="193"/>
      <c r="BX50" s="193"/>
      <c r="BY50" s="193"/>
      <c r="BZ50" s="193"/>
      <c r="CA50" s="193"/>
      <c r="CB50" s="193"/>
      <c r="CC50" s="276"/>
      <c r="CD50" s="279"/>
      <c r="CE50" s="132"/>
      <c r="CF50" s="165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71"/>
      <c r="CR50" s="174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50"/>
      <c r="DD50" s="153"/>
      <c r="DE50" s="138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4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9"/>
      <c r="EC50" s="132"/>
      <c r="EE50" s="114"/>
      <c r="EF50" s="117"/>
    </row>
    <row r="51" spans="1:136" ht="20.25" customHeight="1">
      <c r="A51" s="128"/>
      <c r="B51" s="128"/>
      <c r="C51" s="183"/>
      <c r="D51" s="287" t="s">
        <v>15</v>
      </c>
      <c r="E51" s="17" t="s">
        <v>4</v>
      </c>
      <c r="F51" s="76" t="s">
        <v>91</v>
      </c>
      <c r="G51" s="77" t="s">
        <v>88</v>
      </c>
      <c r="H51" s="46">
        <v>0.90972222222222221</v>
      </c>
      <c r="I51" s="46">
        <v>0.99768518518518512</v>
      </c>
      <c r="J51" s="46">
        <v>0.86400462962962965</v>
      </c>
      <c r="K51" s="46">
        <v>1</v>
      </c>
      <c r="L51" s="46">
        <v>1</v>
      </c>
      <c r="M51" s="46">
        <v>1</v>
      </c>
      <c r="N51" s="46">
        <v>1</v>
      </c>
      <c r="O51" s="46"/>
      <c r="P51" s="46"/>
      <c r="Q51" s="46"/>
      <c r="R51" s="46"/>
      <c r="S51" s="47"/>
      <c r="T51" s="48">
        <f t="shared" si="8"/>
        <v>21.833333333333332</v>
      </c>
      <c r="U51" s="49">
        <f>I51*24</f>
        <v>23.944444444444443</v>
      </c>
      <c r="V51" s="49">
        <f t="shared" si="10"/>
        <v>20.736111111111111</v>
      </c>
      <c r="W51" s="49">
        <f t="shared" si="11"/>
        <v>24</v>
      </c>
      <c r="X51" s="49">
        <f t="shared" si="12"/>
        <v>24</v>
      </c>
      <c r="Y51" s="49">
        <f t="shared" si="13"/>
        <v>24</v>
      </c>
      <c r="Z51" s="49">
        <f t="shared" si="14"/>
        <v>24</v>
      </c>
      <c r="AA51" s="49">
        <f t="shared" si="15"/>
        <v>0</v>
      </c>
      <c r="AB51" s="49">
        <f t="shared" si="16"/>
        <v>0</v>
      </c>
      <c r="AC51" s="49">
        <f t="shared" si="17"/>
        <v>0</v>
      </c>
      <c r="AD51" s="49">
        <f t="shared" si="18"/>
        <v>0</v>
      </c>
      <c r="AE51" s="50">
        <f t="shared" si="19"/>
        <v>0</v>
      </c>
      <c r="AF51" s="186"/>
      <c r="AG51" s="322"/>
      <c r="AH51" s="28">
        <f t="shared" si="45"/>
        <v>21.833333333333332</v>
      </c>
      <c r="AI51" s="29">
        <f t="shared" si="46"/>
        <v>23.944444444444443</v>
      </c>
      <c r="AJ51" s="29">
        <f t="shared" si="46"/>
        <v>20.736111111111111</v>
      </c>
      <c r="AK51" s="29">
        <f t="shared" si="46"/>
        <v>24</v>
      </c>
      <c r="AL51" s="29">
        <f t="shared" si="46"/>
        <v>24</v>
      </c>
      <c r="AM51" s="29">
        <f t="shared" si="46"/>
        <v>24</v>
      </c>
      <c r="AN51" s="29">
        <f t="shared" si="46"/>
        <v>24</v>
      </c>
      <c r="AO51" s="29">
        <f t="shared" si="46"/>
        <v>0</v>
      </c>
      <c r="AP51" s="29">
        <f t="shared" si="46"/>
        <v>0</v>
      </c>
      <c r="AQ51" s="29">
        <f t="shared" si="46"/>
        <v>0</v>
      </c>
      <c r="AR51" s="29">
        <f t="shared" si="46"/>
        <v>0</v>
      </c>
      <c r="AS51" s="30">
        <f t="shared" si="46"/>
        <v>0</v>
      </c>
      <c r="AT51" s="61">
        <v>80</v>
      </c>
      <c r="AU51" s="31">
        <v>78</v>
      </c>
      <c r="AV51" s="31">
        <v>80</v>
      </c>
      <c r="AW51" s="31">
        <v>80</v>
      </c>
      <c r="AX51" s="31">
        <v>81</v>
      </c>
      <c r="AY51" s="31">
        <v>79</v>
      </c>
      <c r="AZ51" s="31">
        <v>80</v>
      </c>
      <c r="BA51" s="31"/>
      <c r="BB51" s="31"/>
      <c r="BC51" s="31"/>
      <c r="BD51" s="31"/>
      <c r="BE51" s="37"/>
      <c r="BF51" s="138">
        <f>IFERROR((((AH51*AT51)+(AH52*AT52)+(AH53*AT53))/SUM(AT51:AT53)),0)</f>
        <v>23.508012820512818</v>
      </c>
      <c r="BG51" s="141">
        <f t="shared" ref="BG51:BQ51" si="49">IFERROR((((AI51*AU51)+(AI52*AU52)+(AI53*AU53))/SUM(AU51:AU53)),0)</f>
        <v>23.987758945386062</v>
      </c>
      <c r="BH51" s="141">
        <f t="shared" si="49"/>
        <v>21.404389195825658</v>
      </c>
      <c r="BI51" s="141">
        <f t="shared" si="49"/>
        <v>24</v>
      </c>
      <c r="BJ51" s="141">
        <f t="shared" si="49"/>
        <v>24</v>
      </c>
      <c r="BK51" s="141">
        <f t="shared" si="49"/>
        <v>24</v>
      </c>
      <c r="BL51" s="141">
        <f t="shared" si="49"/>
        <v>24</v>
      </c>
      <c r="BM51" s="141">
        <f t="shared" si="49"/>
        <v>0</v>
      </c>
      <c r="BN51" s="141">
        <f t="shared" si="49"/>
        <v>0</v>
      </c>
      <c r="BO51" s="141">
        <f t="shared" si="49"/>
        <v>0</v>
      </c>
      <c r="BP51" s="141">
        <f t="shared" si="49"/>
        <v>0</v>
      </c>
      <c r="BQ51" s="144">
        <f t="shared" si="49"/>
        <v>0</v>
      </c>
      <c r="BR51" s="214">
        <f>SUM(AT51:AT53)</f>
        <v>364</v>
      </c>
      <c r="BS51" s="204">
        <f t="shared" ref="BS51:CC51" si="50">SUM(AU51:AU53)</f>
        <v>354</v>
      </c>
      <c r="BT51" s="204">
        <f t="shared" si="50"/>
        <v>362</v>
      </c>
      <c r="BU51" s="204">
        <f t="shared" si="50"/>
        <v>363</v>
      </c>
      <c r="BV51" s="204">
        <f t="shared" si="50"/>
        <v>366</v>
      </c>
      <c r="BW51" s="204">
        <f t="shared" si="50"/>
        <v>358</v>
      </c>
      <c r="BX51" s="204">
        <f t="shared" si="50"/>
        <v>362</v>
      </c>
      <c r="BY51" s="204">
        <f t="shared" si="50"/>
        <v>0</v>
      </c>
      <c r="BZ51" s="204">
        <f t="shared" si="50"/>
        <v>0</v>
      </c>
      <c r="CA51" s="204">
        <f t="shared" si="50"/>
        <v>0</v>
      </c>
      <c r="CB51" s="204">
        <f t="shared" si="50"/>
        <v>0</v>
      </c>
      <c r="CC51" s="281">
        <f t="shared" si="50"/>
        <v>0</v>
      </c>
      <c r="CD51" s="278">
        <f>IFERROR(((BF51*BR51)+(BG51*BS51)+(BH51*BT51)+(BI51*BU51)+(BJ51*BV51)+(BK51*BW51)+(BL51*BX51)+(BM51*BY51)+(BN51*BZ51)+(BO51*CA51)+(BP51*CB51)+(BQ51*CC51))/SUM(BR51:CC53),0)</f>
        <v>23.555939985062167</v>
      </c>
      <c r="CE51" s="132"/>
      <c r="CF51" s="165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71"/>
      <c r="CR51" s="174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50"/>
      <c r="DD51" s="153"/>
      <c r="DE51" s="138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4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9"/>
      <c r="EC51" s="132"/>
      <c r="EE51" s="114"/>
      <c r="EF51" s="117"/>
    </row>
    <row r="52" spans="1:136" ht="20.25" customHeight="1">
      <c r="A52" s="128"/>
      <c r="B52" s="128"/>
      <c r="C52" s="183"/>
      <c r="D52" s="287"/>
      <c r="E52" s="18" t="s">
        <v>5</v>
      </c>
      <c r="F52" s="84" t="s">
        <v>92</v>
      </c>
      <c r="G52" s="85" t="s">
        <v>89</v>
      </c>
      <c r="H52" s="46">
        <v>1</v>
      </c>
      <c r="I52" s="46">
        <v>1</v>
      </c>
      <c r="J52" s="46">
        <v>0.89351851851851849</v>
      </c>
      <c r="K52" s="46">
        <v>1</v>
      </c>
      <c r="L52" s="46">
        <v>1</v>
      </c>
      <c r="M52" s="46">
        <v>1</v>
      </c>
      <c r="N52" s="46">
        <v>1</v>
      </c>
      <c r="O52" s="46"/>
      <c r="P52" s="46"/>
      <c r="Q52" s="46"/>
      <c r="R52" s="46"/>
      <c r="S52" s="47"/>
      <c r="T52" s="48">
        <f t="shared" si="8"/>
        <v>24</v>
      </c>
      <c r="U52" s="49">
        <f>I52*24</f>
        <v>24</v>
      </c>
      <c r="V52" s="49">
        <f t="shared" si="10"/>
        <v>21.444444444444443</v>
      </c>
      <c r="W52" s="49">
        <f t="shared" si="11"/>
        <v>24</v>
      </c>
      <c r="X52" s="49">
        <f t="shared" si="12"/>
        <v>24</v>
      </c>
      <c r="Y52" s="49">
        <f t="shared" si="13"/>
        <v>24</v>
      </c>
      <c r="Z52" s="49">
        <f t="shared" si="14"/>
        <v>24</v>
      </c>
      <c r="AA52" s="49">
        <f t="shared" si="15"/>
        <v>0</v>
      </c>
      <c r="AB52" s="49">
        <f t="shared" si="16"/>
        <v>0</v>
      </c>
      <c r="AC52" s="49">
        <f t="shared" si="17"/>
        <v>0</v>
      </c>
      <c r="AD52" s="49">
        <f t="shared" si="18"/>
        <v>0</v>
      </c>
      <c r="AE52" s="50">
        <f t="shared" si="19"/>
        <v>0</v>
      </c>
      <c r="AF52" s="186"/>
      <c r="AG52" s="322"/>
      <c r="AH52" s="28">
        <f t="shared" si="45"/>
        <v>24</v>
      </c>
      <c r="AI52" s="29">
        <f t="shared" si="46"/>
        <v>24</v>
      </c>
      <c r="AJ52" s="29">
        <f t="shared" si="46"/>
        <v>21.444444444444443</v>
      </c>
      <c r="AK52" s="29">
        <f t="shared" si="46"/>
        <v>24</v>
      </c>
      <c r="AL52" s="29">
        <f t="shared" si="46"/>
        <v>24</v>
      </c>
      <c r="AM52" s="29">
        <f t="shared" si="46"/>
        <v>24</v>
      </c>
      <c r="AN52" s="29">
        <f t="shared" si="46"/>
        <v>24</v>
      </c>
      <c r="AO52" s="29">
        <f t="shared" si="46"/>
        <v>0</v>
      </c>
      <c r="AP52" s="29">
        <f t="shared" si="46"/>
        <v>0</v>
      </c>
      <c r="AQ52" s="29">
        <f t="shared" si="46"/>
        <v>0</v>
      </c>
      <c r="AR52" s="29">
        <f t="shared" si="46"/>
        <v>0</v>
      </c>
      <c r="AS52" s="30">
        <f t="shared" si="46"/>
        <v>0</v>
      </c>
      <c r="AT52" s="61">
        <v>215</v>
      </c>
      <c r="AU52" s="31">
        <v>209</v>
      </c>
      <c r="AV52" s="31">
        <v>213</v>
      </c>
      <c r="AW52" s="31">
        <v>214</v>
      </c>
      <c r="AX52" s="31">
        <v>216</v>
      </c>
      <c r="AY52" s="31">
        <v>211</v>
      </c>
      <c r="AZ52" s="31">
        <v>213</v>
      </c>
      <c r="BA52" s="31"/>
      <c r="BB52" s="31"/>
      <c r="BC52" s="31"/>
      <c r="BD52" s="31"/>
      <c r="BE52" s="37"/>
      <c r="BF52" s="138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4"/>
      <c r="BR52" s="214"/>
      <c r="BS52" s="204"/>
      <c r="BT52" s="204"/>
      <c r="BU52" s="204"/>
      <c r="BV52" s="204"/>
      <c r="BW52" s="204"/>
      <c r="BX52" s="204"/>
      <c r="BY52" s="204"/>
      <c r="BZ52" s="204"/>
      <c r="CA52" s="204"/>
      <c r="CB52" s="204"/>
      <c r="CC52" s="281"/>
      <c r="CD52" s="278"/>
      <c r="CE52" s="132"/>
      <c r="CF52" s="165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71"/>
      <c r="CR52" s="174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50"/>
      <c r="DD52" s="153"/>
      <c r="DE52" s="138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4"/>
      <c r="DQ52" s="106"/>
      <c r="DR52" s="106"/>
      <c r="DS52" s="106"/>
      <c r="DT52" s="106"/>
      <c r="DU52" s="106"/>
      <c r="DV52" s="106"/>
      <c r="DW52" s="106"/>
      <c r="DX52" s="106"/>
      <c r="DY52" s="106"/>
      <c r="DZ52" s="106"/>
      <c r="EA52" s="106"/>
      <c r="EB52" s="109"/>
      <c r="EC52" s="132"/>
      <c r="EE52" s="114"/>
      <c r="EF52" s="117"/>
    </row>
    <row r="53" spans="1:136" ht="20.25" customHeight="1" thickBot="1">
      <c r="A53" s="128"/>
      <c r="B53" s="129"/>
      <c r="C53" s="184"/>
      <c r="D53" s="288"/>
      <c r="E53" s="20" t="s">
        <v>6</v>
      </c>
      <c r="F53" s="80" t="s">
        <v>93</v>
      </c>
      <c r="G53" s="81" t="s">
        <v>90</v>
      </c>
      <c r="H53" s="51">
        <v>0.99652777777777779</v>
      </c>
      <c r="I53" s="51">
        <v>1</v>
      </c>
      <c r="J53" s="51">
        <v>0.91898148148148151</v>
      </c>
      <c r="K53" s="51">
        <v>1</v>
      </c>
      <c r="L53" s="51">
        <v>1</v>
      </c>
      <c r="M53" s="51">
        <v>1</v>
      </c>
      <c r="N53" s="51">
        <v>1</v>
      </c>
      <c r="O53" s="51"/>
      <c r="P53" s="51"/>
      <c r="Q53" s="51"/>
      <c r="R53" s="51"/>
      <c r="S53" s="52"/>
      <c r="T53" s="53">
        <f t="shared" si="8"/>
        <v>23.916666666666668</v>
      </c>
      <c r="U53" s="54">
        <f t="shared" si="9"/>
        <v>24</v>
      </c>
      <c r="V53" s="54">
        <f t="shared" si="10"/>
        <v>22.055555555555557</v>
      </c>
      <c r="W53" s="54">
        <f t="shared" si="11"/>
        <v>24</v>
      </c>
      <c r="X53" s="54">
        <f t="shared" si="12"/>
        <v>24</v>
      </c>
      <c r="Y53" s="54">
        <f t="shared" si="13"/>
        <v>24</v>
      </c>
      <c r="Z53" s="54">
        <f t="shared" si="14"/>
        <v>24</v>
      </c>
      <c r="AA53" s="54">
        <f t="shared" si="15"/>
        <v>0</v>
      </c>
      <c r="AB53" s="54">
        <f t="shared" si="16"/>
        <v>0</v>
      </c>
      <c r="AC53" s="54">
        <f t="shared" si="17"/>
        <v>0</v>
      </c>
      <c r="AD53" s="54">
        <f t="shared" si="18"/>
        <v>0</v>
      </c>
      <c r="AE53" s="55">
        <f t="shared" si="19"/>
        <v>0</v>
      </c>
      <c r="AF53" s="186"/>
      <c r="AG53" s="322"/>
      <c r="AH53" s="32">
        <f t="shared" si="45"/>
        <v>23.916666666666668</v>
      </c>
      <c r="AI53" s="33">
        <f t="shared" si="46"/>
        <v>24</v>
      </c>
      <c r="AJ53" s="33">
        <f t="shared" si="46"/>
        <v>22.055555555555557</v>
      </c>
      <c r="AK53" s="33">
        <f t="shared" si="46"/>
        <v>24</v>
      </c>
      <c r="AL53" s="33">
        <f t="shared" si="46"/>
        <v>24</v>
      </c>
      <c r="AM53" s="33">
        <f t="shared" si="46"/>
        <v>24</v>
      </c>
      <c r="AN53" s="33">
        <f t="shared" si="46"/>
        <v>24</v>
      </c>
      <c r="AO53" s="33">
        <f t="shared" si="46"/>
        <v>0</v>
      </c>
      <c r="AP53" s="33">
        <f t="shared" si="46"/>
        <v>0</v>
      </c>
      <c r="AQ53" s="33">
        <f t="shared" si="46"/>
        <v>0</v>
      </c>
      <c r="AR53" s="33">
        <f t="shared" si="46"/>
        <v>0</v>
      </c>
      <c r="AS53" s="34">
        <f t="shared" si="46"/>
        <v>0</v>
      </c>
      <c r="AT53" s="63">
        <v>69</v>
      </c>
      <c r="AU53" s="39">
        <v>67</v>
      </c>
      <c r="AV53" s="39">
        <v>69</v>
      </c>
      <c r="AW53" s="39">
        <v>69</v>
      </c>
      <c r="AX53" s="39">
        <v>69</v>
      </c>
      <c r="AY53" s="39">
        <v>68</v>
      </c>
      <c r="AZ53" s="39">
        <v>69</v>
      </c>
      <c r="BA53" s="39"/>
      <c r="BB53" s="39"/>
      <c r="BC53" s="39"/>
      <c r="BD53" s="39"/>
      <c r="BE53" s="40"/>
      <c r="BF53" s="139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5"/>
      <c r="BR53" s="265"/>
      <c r="BS53" s="205"/>
      <c r="BT53" s="205"/>
      <c r="BU53" s="205"/>
      <c r="BV53" s="205"/>
      <c r="BW53" s="205"/>
      <c r="BX53" s="205"/>
      <c r="BY53" s="205"/>
      <c r="BZ53" s="205"/>
      <c r="CA53" s="205"/>
      <c r="CB53" s="205"/>
      <c r="CC53" s="282"/>
      <c r="CD53" s="280"/>
      <c r="CE53" s="133"/>
      <c r="CF53" s="166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72"/>
      <c r="CR53" s="175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51"/>
      <c r="DD53" s="154"/>
      <c r="DE53" s="138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4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9"/>
      <c r="EC53" s="132"/>
      <c r="EE53" s="114"/>
      <c r="EF53" s="117"/>
    </row>
    <row r="54" spans="1:136" ht="20.25" customHeight="1">
      <c r="A54" s="128"/>
      <c r="B54" s="253" t="s">
        <v>26</v>
      </c>
      <c r="C54" s="183" t="s">
        <v>22</v>
      </c>
      <c r="D54" s="246" t="s">
        <v>123</v>
      </c>
      <c r="E54" s="237" t="s">
        <v>4</v>
      </c>
      <c r="F54" s="6" t="s">
        <v>139</v>
      </c>
      <c r="G54" s="7" t="s">
        <v>147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9"/>
      <c r="T54" s="43">
        <f t="shared" si="8"/>
        <v>0</v>
      </c>
      <c r="U54" s="90">
        <f t="shared" si="9"/>
        <v>0</v>
      </c>
      <c r="V54" s="90">
        <f t="shared" si="10"/>
        <v>0</v>
      </c>
      <c r="W54" s="90">
        <f t="shared" si="11"/>
        <v>0</v>
      </c>
      <c r="X54" s="90">
        <f t="shared" si="12"/>
        <v>0</v>
      </c>
      <c r="Y54" s="90">
        <f t="shared" si="13"/>
        <v>0</v>
      </c>
      <c r="Z54" s="90">
        <f t="shared" si="14"/>
        <v>0</v>
      </c>
      <c r="AA54" s="90">
        <f t="shared" si="15"/>
        <v>0</v>
      </c>
      <c r="AB54" s="90">
        <f t="shared" si="16"/>
        <v>0</v>
      </c>
      <c r="AC54" s="44">
        <f t="shared" si="17"/>
        <v>0</v>
      </c>
      <c r="AD54" s="44">
        <f t="shared" si="18"/>
        <v>0</v>
      </c>
      <c r="AE54" s="45">
        <f t="shared" si="19"/>
        <v>0</v>
      </c>
      <c r="AF54" s="186"/>
      <c r="AG54" s="322"/>
      <c r="AH54" s="137">
        <f>IFERROR((SUM(T54:T56)/COUNTIF(T54:T56,"&gt;0")),0)</f>
        <v>6.75</v>
      </c>
      <c r="AI54" s="140">
        <f t="shared" ref="AI54:AS54" si="51">IFERROR((SUM(U54:U56)/COUNTIF(U54:U56,"&gt;0")),0)</f>
        <v>7.791666666666667</v>
      </c>
      <c r="AJ54" s="140">
        <f t="shared" si="51"/>
        <v>8.8055555555555554</v>
      </c>
      <c r="AK54" s="140">
        <f t="shared" si="51"/>
        <v>8.6999999999999993</v>
      </c>
      <c r="AL54" s="140">
        <f t="shared" si="51"/>
        <v>11.875</v>
      </c>
      <c r="AM54" s="140">
        <f t="shared" si="51"/>
        <v>8.8333333333333339</v>
      </c>
      <c r="AN54" s="140">
        <f t="shared" si="51"/>
        <v>7.3888888888888893</v>
      </c>
      <c r="AO54" s="140">
        <f t="shared" si="51"/>
        <v>0</v>
      </c>
      <c r="AP54" s="140">
        <f t="shared" si="51"/>
        <v>0</v>
      </c>
      <c r="AQ54" s="140">
        <f t="shared" si="51"/>
        <v>0</v>
      </c>
      <c r="AR54" s="140">
        <f t="shared" si="51"/>
        <v>0</v>
      </c>
      <c r="AS54" s="143">
        <f t="shared" si="51"/>
        <v>0</v>
      </c>
      <c r="AT54" s="232">
        <v>634</v>
      </c>
      <c r="AU54" s="222">
        <v>637</v>
      </c>
      <c r="AV54" s="222">
        <v>633</v>
      </c>
      <c r="AW54" s="222">
        <v>633</v>
      </c>
      <c r="AX54" s="222">
        <v>634</v>
      </c>
      <c r="AY54" s="222">
        <v>2176</v>
      </c>
      <c r="AZ54" s="222">
        <v>2184</v>
      </c>
      <c r="BA54" s="222"/>
      <c r="BB54" s="222"/>
      <c r="BC54" s="222"/>
      <c r="BD54" s="222"/>
      <c r="BE54" s="224"/>
      <c r="BF54" s="137">
        <f>IFERROR((((AH54*AT54)+(AH57*AT57)+(AH60*AT60))/SUM(AT54:AT62)),0)</f>
        <v>13.343034281546316</v>
      </c>
      <c r="BG54" s="140">
        <f t="shared" ref="BG54:BQ54" si="52">IFERROR((((AI54*AU54)+(AI57*AU57)+(AI60*AU60))/SUM(AU54:AU62)),0)</f>
        <v>9.7632742014142906</v>
      </c>
      <c r="BH54" s="140">
        <f t="shared" si="52"/>
        <v>12.651432786148883</v>
      </c>
      <c r="BI54" s="140">
        <f t="shared" si="52"/>
        <v>15.066719557345701</v>
      </c>
      <c r="BJ54" s="140">
        <f t="shared" si="52"/>
        <v>17.067147026632618</v>
      </c>
      <c r="BK54" s="140">
        <f t="shared" si="52"/>
        <v>9.576666666666668</v>
      </c>
      <c r="BL54" s="140">
        <f t="shared" si="52"/>
        <v>9.8621231539118774</v>
      </c>
      <c r="BM54" s="140">
        <f t="shared" si="52"/>
        <v>0</v>
      </c>
      <c r="BN54" s="140">
        <f t="shared" si="52"/>
        <v>0</v>
      </c>
      <c r="BO54" s="140">
        <f t="shared" si="52"/>
        <v>0</v>
      </c>
      <c r="BP54" s="140">
        <f t="shared" si="52"/>
        <v>0</v>
      </c>
      <c r="BQ54" s="143">
        <f t="shared" si="52"/>
        <v>0</v>
      </c>
      <c r="BR54" s="194">
        <f>SUM(AT54:AT62)</f>
        <v>2742</v>
      </c>
      <c r="BS54" s="194">
        <f t="shared" ref="BS54:CC54" si="53">SUM(AU54:AU62)</f>
        <v>2734</v>
      </c>
      <c r="BT54" s="194">
        <f t="shared" si="53"/>
        <v>2721</v>
      </c>
      <c r="BU54" s="194">
        <f t="shared" si="53"/>
        <v>2731</v>
      </c>
      <c r="BV54" s="194">
        <f t="shared" si="53"/>
        <v>2741</v>
      </c>
      <c r="BW54" s="194">
        <f t="shared" si="53"/>
        <v>2720</v>
      </c>
      <c r="BX54" s="194">
        <f t="shared" si="53"/>
        <v>2731</v>
      </c>
      <c r="BY54" s="194">
        <f t="shared" si="53"/>
        <v>0</v>
      </c>
      <c r="BZ54" s="194">
        <f t="shared" si="53"/>
        <v>0</v>
      </c>
      <c r="CA54" s="194">
        <f t="shared" si="53"/>
        <v>0</v>
      </c>
      <c r="CB54" s="194">
        <f t="shared" si="53"/>
        <v>0</v>
      </c>
      <c r="CC54" s="191">
        <f t="shared" si="53"/>
        <v>0</v>
      </c>
      <c r="CD54" s="199">
        <f>IFERROR(((BF54*BR54)+(BG54*BS54)+(BH54*BT54)+(BI54*BU54)+(BJ54*BV54)+(BK54*BW54)+(BL54*BX54)+(BM54*BY54)+(BN54*BZ54)+(BO54*CA54)+(BP54*CB54)+(BQ54*CC54))/SUM(BR54:CC62),0)</f>
        <v>12.479821812529055</v>
      </c>
      <c r="CE54" s="152">
        <f>CD54</f>
        <v>12.479821812529055</v>
      </c>
      <c r="CF54" s="155">
        <f>IFERROR((((BF54*BR54)+(BF63*BR63)+(BF75*BR75)+(BF87*BR87)+(BF93*BR93))/(SUM(BR54:BR113))),0)</f>
        <v>12.637717717717717</v>
      </c>
      <c r="CG54" s="158">
        <f t="shared" ref="CG54:CQ54" si="54">IFERROR((((BG54*BS54)+(BG63*BS63)+(BG75*BS75)+(BG87*BS87)+(BG93*BS93))/(SUM(BS54:BS113))),0)</f>
        <v>11.894352785932449</v>
      </c>
      <c r="CH54" s="158">
        <f t="shared" si="54"/>
        <v>11.981576994789915</v>
      </c>
      <c r="CI54" s="158">
        <f>IFERROR((((BI54*BU54)+(BI63*BU63)+(BI75*BU75)+(BI87*BU87)+(BI93*BU93))/(SUM(BU54:BU113))),0)</f>
        <v>10.465648458016686</v>
      </c>
      <c r="CJ54" s="158">
        <f t="shared" si="54"/>
        <v>13.854870666528203</v>
      </c>
      <c r="CK54" s="158">
        <f t="shared" si="54"/>
        <v>15.042749880071273</v>
      </c>
      <c r="CL54" s="158">
        <f t="shared" si="54"/>
        <v>15.859101150686753</v>
      </c>
      <c r="CM54" s="158">
        <f t="shared" si="54"/>
        <v>0</v>
      </c>
      <c r="CN54" s="158">
        <f t="shared" si="54"/>
        <v>0</v>
      </c>
      <c r="CO54" s="158">
        <f t="shared" si="54"/>
        <v>0</v>
      </c>
      <c r="CP54" s="158">
        <f t="shared" si="54"/>
        <v>0</v>
      </c>
      <c r="CQ54" s="161">
        <f t="shared" si="54"/>
        <v>0</v>
      </c>
      <c r="CR54" s="119">
        <f>BR54+BR63+BR75+BR87+BR93</f>
        <v>18870</v>
      </c>
      <c r="CS54" s="119">
        <f>BS54+BS63+BS75+BS87+BS93</f>
        <v>18735</v>
      </c>
      <c r="CT54" s="119">
        <f t="shared" ref="CT54:DB54" si="55">BT54+BT63+BT75+BT87+BT93</f>
        <v>18831</v>
      </c>
      <c r="CU54" s="119">
        <f t="shared" si="55"/>
        <v>19124</v>
      </c>
      <c r="CV54" s="119">
        <f t="shared" si="55"/>
        <v>19259</v>
      </c>
      <c r="CW54" s="119">
        <f t="shared" si="55"/>
        <v>19456</v>
      </c>
      <c r="CX54" s="119">
        <f t="shared" si="55"/>
        <v>20046</v>
      </c>
      <c r="CY54" s="119">
        <f t="shared" si="55"/>
        <v>0</v>
      </c>
      <c r="CZ54" s="119">
        <f t="shared" si="55"/>
        <v>0</v>
      </c>
      <c r="DA54" s="119">
        <f t="shared" si="55"/>
        <v>0</v>
      </c>
      <c r="DB54" s="119">
        <f t="shared" si="55"/>
        <v>0</v>
      </c>
      <c r="DC54" s="119">
        <f>CC54+CC63+CC75+CC87+CC93</f>
        <v>0</v>
      </c>
      <c r="DD54" s="122">
        <f>IFERROR((((CF54*CR54)+(CG54*CS54)+(CH54*CT54)+(CI54*CU54)+(CJ54*CV54)+(CK54*CW54)+(CL54*CX54)+(CM54*CY54)+(CN54*CZ54)+(CO54*DA54)+(CP54*DB54)+(CQ54*DC54))/(SUM(CR54:DC113))),0)</f>
        <v>13.136432931394031</v>
      </c>
      <c r="DE54" s="138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4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9"/>
      <c r="EC54" s="132"/>
      <c r="EE54" s="114"/>
      <c r="EF54" s="117"/>
    </row>
    <row r="55" spans="1:136" ht="20.25" customHeight="1">
      <c r="A55" s="128"/>
      <c r="B55" s="254"/>
      <c r="C55" s="183"/>
      <c r="D55" s="246"/>
      <c r="E55" s="237"/>
      <c r="F55" s="2" t="s">
        <v>140</v>
      </c>
      <c r="G55" s="3" t="s">
        <v>148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7"/>
      <c r="T55" s="48">
        <f t="shared" si="8"/>
        <v>0</v>
      </c>
      <c r="U55" s="49">
        <f t="shared" si="9"/>
        <v>0</v>
      </c>
      <c r="V55" s="49">
        <f t="shared" si="10"/>
        <v>0</v>
      </c>
      <c r="W55" s="49">
        <f t="shared" si="11"/>
        <v>0</v>
      </c>
      <c r="X55" s="49">
        <f t="shared" si="12"/>
        <v>0</v>
      </c>
      <c r="Y55" s="49">
        <f t="shared" si="13"/>
        <v>0</v>
      </c>
      <c r="Z55" s="49">
        <f t="shared" si="14"/>
        <v>0</v>
      </c>
      <c r="AA55" s="49">
        <f t="shared" si="15"/>
        <v>0</v>
      </c>
      <c r="AB55" s="49">
        <f t="shared" si="16"/>
        <v>0</v>
      </c>
      <c r="AC55" s="49">
        <f t="shared" si="17"/>
        <v>0</v>
      </c>
      <c r="AD55" s="49">
        <f t="shared" si="18"/>
        <v>0</v>
      </c>
      <c r="AE55" s="50">
        <f t="shared" si="19"/>
        <v>0</v>
      </c>
      <c r="AF55" s="186"/>
      <c r="AG55" s="322"/>
      <c r="AH55" s="138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4"/>
      <c r="AT55" s="23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4"/>
      <c r="BF55" s="138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4"/>
      <c r="BR55" s="194"/>
      <c r="BS55" s="194"/>
      <c r="BT55" s="194"/>
      <c r="BU55" s="194"/>
      <c r="BV55" s="194"/>
      <c r="BW55" s="194"/>
      <c r="BX55" s="194"/>
      <c r="BY55" s="194"/>
      <c r="BZ55" s="194"/>
      <c r="CA55" s="194"/>
      <c r="CB55" s="194"/>
      <c r="CC55" s="191"/>
      <c r="CD55" s="199"/>
      <c r="CE55" s="153"/>
      <c r="CF55" s="156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62"/>
      <c r="CR55" s="120"/>
      <c r="CS55" s="120"/>
      <c r="CT55" s="120"/>
      <c r="CU55" s="120"/>
      <c r="CV55" s="120"/>
      <c r="CW55" s="120"/>
      <c r="CX55" s="120"/>
      <c r="CY55" s="120"/>
      <c r="CZ55" s="120"/>
      <c r="DA55" s="120"/>
      <c r="DB55" s="120"/>
      <c r="DC55" s="120"/>
      <c r="DD55" s="123"/>
      <c r="DE55" s="138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4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9"/>
      <c r="EC55" s="132"/>
      <c r="EE55" s="114"/>
      <c r="EF55" s="117"/>
    </row>
    <row r="56" spans="1:136" ht="20.25" customHeight="1">
      <c r="A56" s="128"/>
      <c r="B56" s="254"/>
      <c r="C56" s="183"/>
      <c r="D56" s="246"/>
      <c r="E56" s="238"/>
      <c r="F56" s="84" t="s">
        <v>273</v>
      </c>
      <c r="G56" s="85" t="s">
        <v>149</v>
      </c>
      <c r="H56" s="46">
        <v>0.28125</v>
      </c>
      <c r="I56" s="46">
        <v>0.32465277777777779</v>
      </c>
      <c r="J56" s="46">
        <v>0.36689814814814814</v>
      </c>
      <c r="K56" s="46">
        <v>0.36249999999999999</v>
      </c>
      <c r="L56" s="46">
        <v>0.49479166666666669</v>
      </c>
      <c r="M56" s="46">
        <v>0.36805555555555558</v>
      </c>
      <c r="N56" s="46">
        <v>0.30787037037037041</v>
      </c>
      <c r="O56" s="46"/>
      <c r="P56" s="46"/>
      <c r="Q56" s="46"/>
      <c r="R56" s="46"/>
      <c r="S56" s="47"/>
      <c r="T56" s="48">
        <f t="shared" si="8"/>
        <v>6.75</v>
      </c>
      <c r="U56" s="49">
        <f t="shared" si="9"/>
        <v>7.791666666666667</v>
      </c>
      <c r="V56" s="49">
        <f t="shared" si="10"/>
        <v>8.8055555555555554</v>
      </c>
      <c r="W56" s="49">
        <f t="shared" si="11"/>
        <v>8.6999999999999993</v>
      </c>
      <c r="X56" s="49">
        <f t="shared" si="12"/>
        <v>11.875</v>
      </c>
      <c r="Y56" s="49">
        <f t="shared" si="13"/>
        <v>8.8333333333333339</v>
      </c>
      <c r="Z56" s="49">
        <f t="shared" si="14"/>
        <v>7.3888888888888893</v>
      </c>
      <c r="AA56" s="49">
        <f t="shared" si="15"/>
        <v>0</v>
      </c>
      <c r="AB56" s="49">
        <f t="shared" si="16"/>
        <v>0</v>
      </c>
      <c r="AC56" s="49">
        <f t="shared" si="17"/>
        <v>0</v>
      </c>
      <c r="AD56" s="49">
        <f t="shared" si="18"/>
        <v>0</v>
      </c>
      <c r="AE56" s="50">
        <f t="shared" si="19"/>
        <v>0</v>
      </c>
      <c r="AF56" s="186"/>
      <c r="AG56" s="322"/>
      <c r="AH56" s="138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4"/>
      <c r="AT56" s="234"/>
      <c r="AU56" s="220"/>
      <c r="AV56" s="220"/>
      <c r="AW56" s="220"/>
      <c r="AX56" s="220"/>
      <c r="AY56" s="220"/>
      <c r="AZ56" s="220"/>
      <c r="BA56" s="220"/>
      <c r="BB56" s="220"/>
      <c r="BC56" s="220"/>
      <c r="BD56" s="220"/>
      <c r="BE56" s="225"/>
      <c r="BF56" s="138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4"/>
      <c r="BR56" s="194"/>
      <c r="BS56" s="194"/>
      <c r="BT56" s="194"/>
      <c r="BU56" s="194"/>
      <c r="BV56" s="194"/>
      <c r="BW56" s="194"/>
      <c r="BX56" s="194"/>
      <c r="BY56" s="194"/>
      <c r="BZ56" s="194"/>
      <c r="CA56" s="194"/>
      <c r="CB56" s="194"/>
      <c r="CC56" s="191"/>
      <c r="CD56" s="199"/>
      <c r="CE56" s="153"/>
      <c r="CF56" s="156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62"/>
      <c r="CR56" s="120"/>
      <c r="CS56" s="120"/>
      <c r="CT56" s="120"/>
      <c r="CU56" s="120"/>
      <c r="CV56" s="120"/>
      <c r="CW56" s="120"/>
      <c r="CX56" s="120"/>
      <c r="CY56" s="120"/>
      <c r="CZ56" s="120"/>
      <c r="DA56" s="120"/>
      <c r="DB56" s="120"/>
      <c r="DC56" s="120"/>
      <c r="DD56" s="123"/>
      <c r="DE56" s="138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4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9"/>
      <c r="EC56" s="132"/>
      <c r="EE56" s="114"/>
      <c r="EF56" s="117"/>
    </row>
    <row r="57" spans="1:136" ht="20.25" customHeight="1">
      <c r="A57" s="128"/>
      <c r="B57" s="254"/>
      <c r="C57" s="183"/>
      <c r="D57" s="246"/>
      <c r="E57" s="239" t="s">
        <v>5</v>
      </c>
      <c r="F57" s="2" t="s">
        <v>141</v>
      </c>
      <c r="G57" s="3" t="s">
        <v>150</v>
      </c>
      <c r="H57" s="46"/>
      <c r="I57" s="46"/>
      <c r="J57" s="46"/>
      <c r="K57" s="46"/>
      <c r="L57" s="46"/>
      <c r="M57" s="46"/>
      <c r="N57" s="46">
        <v>0.76302083333333337</v>
      </c>
      <c r="O57" s="46"/>
      <c r="P57" s="46"/>
      <c r="Q57" s="46"/>
      <c r="R57" s="46"/>
      <c r="S57" s="47"/>
      <c r="T57" s="48">
        <f t="shared" si="8"/>
        <v>0</v>
      </c>
      <c r="U57" s="49">
        <f t="shared" si="9"/>
        <v>0</v>
      </c>
      <c r="V57" s="49">
        <f t="shared" si="10"/>
        <v>0</v>
      </c>
      <c r="W57" s="49">
        <f t="shared" si="11"/>
        <v>0</v>
      </c>
      <c r="X57" s="49">
        <f t="shared" si="12"/>
        <v>0</v>
      </c>
      <c r="Y57" s="49">
        <f t="shared" si="13"/>
        <v>0</v>
      </c>
      <c r="Z57" s="49">
        <f t="shared" si="14"/>
        <v>18.3125</v>
      </c>
      <c r="AA57" s="49">
        <f t="shared" si="15"/>
        <v>0</v>
      </c>
      <c r="AB57" s="49">
        <f t="shared" si="16"/>
        <v>0</v>
      </c>
      <c r="AC57" s="49">
        <f t="shared" si="17"/>
        <v>0</v>
      </c>
      <c r="AD57" s="49">
        <f t="shared" si="18"/>
        <v>0</v>
      </c>
      <c r="AE57" s="50">
        <f t="shared" si="19"/>
        <v>0</v>
      </c>
      <c r="AF57" s="186"/>
      <c r="AG57" s="322"/>
      <c r="AH57" s="138">
        <f>IFERROR((SUM(T57:T59)/COUNTIF(T57:T59,"&gt;0")),0)</f>
        <v>6.2000000000000011</v>
      </c>
      <c r="AI57" s="141">
        <f t="shared" ref="AI57:AS57" si="56">IFERROR((SUM(U57:U59)/COUNTIF(U57:U59,"&gt;0")),0)</f>
        <v>9.625</v>
      </c>
      <c r="AJ57" s="141">
        <f t="shared" si="56"/>
        <v>10.236111111111111</v>
      </c>
      <c r="AK57" s="141">
        <f t="shared" si="56"/>
        <v>10.597222222222221</v>
      </c>
      <c r="AL57" s="141">
        <f t="shared" si="56"/>
        <v>9.15</v>
      </c>
      <c r="AM57" s="141">
        <f t="shared" si="56"/>
        <v>8.7333333333333325</v>
      </c>
      <c r="AN57" s="141">
        <f t="shared" si="56"/>
        <v>18.3125</v>
      </c>
      <c r="AO57" s="141">
        <f t="shared" si="56"/>
        <v>0</v>
      </c>
      <c r="AP57" s="141">
        <f t="shared" si="56"/>
        <v>0</v>
      </c>
      <c r="AQ57" s="141">
        <f t="shared" si="56"/>
        <v>0</v>
      </c>
      <c r="AR57" s="141">
        <f t="shared" si="56"/>
        <v>0</v>
      </c>
      <c r="AS57" s="144">
        <f t="shared" si="56"/>
        <v>0</v>
      </c>
      <c r="AT57" s="231">
        <v>758</v>
      </c>
      <c r="AU57" s="219">
        <v>756</v>
      </c>
      <c r="AV57" s="219">
        <v>757</v>
      </c>
      <c r="AW57" s="219">
        <v>761</v>
      </c>
      <c r="AX57" s="219">
        <v>762</v>
      </c>
      <c r="AY57" s="219">
        <v>408</v>
      </c>
      <c r="AZ57" s="219">
        <v>410</v>
      </c>
      <c r="BA57" s="219"/>
      <c r="BB57" s="219"/>
      <c r="BC57" s="219"/>
      <c r="BD57" s="219"/>
      <c r="BE57" s="226"/>
      <c r="BF57" s="138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1"/>
      <c r="CD57" s="199"/>
      <c r="CE57" s="153"/>
      <c r="CF57" s="156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62"/>
      <c r="CR57" s="120"/>
      <c r="CS57" s="120"/>
      <c r="CT57" s="120"/>
      <c r="CU57" s="120"/>
      <c r="CV57" s="120"/>
      <c r="CW57" s="120"/>
      <c r="CX57" s="120"/>
      <c r="CY57" s="120"/>
      <c r="CZ57" s="120"/>
      <c r="DA57" s="120"/>
      <c r="DB57" s="120"/>
      <c r="DC57" s="120"/>
      <c r="DD57" s="123"/>
      <c r="DE57" s="138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4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9"/>
      <c r="EC57" s="132"/>
      <c r="EE57" s="114"/>
      <c r="EF57" s="117"/>
    </row>
    <row r="58" spans="1:136" ht="20.25" customHeight="1">
      <c r="A58" s="128"/>
      <c r="B58" s="254"/>
      <c r="C58" s="183"/>
      <c r="D58" s="246"/>
      <c r="E58" s="240"/>
      <c r="F58" s="2" t="s">
        <v>142</v>
      </c>
      <c r="G58" s="3" t="s">
        <v>151</v>
      </c>
      <c r="H58" s="46">
        <v>0.25833333333333336</v>
      </c>
      <c r="I58" s="46">
        <v>0.40104166666666669</v>
      </c>
      <c r="J58" s="46">
        <v>0.42650462962962959</v>
      </c>
      <c r="K58" s="46">
        <v>0.44155092592592587</v>
      </c>
      <c r="L58" s="46">
        <v>0.38125000000000003</v>
      </c>
      <c r="M58" s="46">
        <v>0.36388888888888887</v>
      </c>
      <c r="N58" s="46"/>
      <c r="O58" s="46"/>
      <c r="P58" s="46"/>
      <c r="Q58" s="46"/>
      <c r="R58" s="46"/>
      <c r="S58" s="47"/>
      <c r="T58" s="48">
        <f t="shared" si="8"/>
        <v>6.2000000000000011</v>
      </c>
      <c r="U58" s="49">
        <f t="shared" si="9"/>
        <v>9.625</v>
      </c>
      <c r="V58" s="49">
        <f t="shared" si="10"/>
        <v>10.236111111111111</v>
      </c>
      <c r="W58" s="49">
        <f t="shared" si="11"/>
        <v>10.597222222222221</v>
      </c>
      <c r="X58" s="49">
        <f t="shared" si="12"/>
        <v>9.15</v>
      </c>
      <c r="Y58" s="49">
        <f t="shared" si="13"/>
        <v>8.7333333333333325</v>
      </c>
      <c r="Z58" s="49">
        <f t="shared" si="14"/>
        <v>0</v>
      </c>
      <c r="AA58" s="49">
        <f t="shared" si="15"/>
        <v>0</v>
      </c>
      <c r="AB58" s="49">
        <f t="shared" si="16"/>
        <v>0</v>
      </c>
      <c r="AC58" s="49">
        <f t="shared" si="17"/>
        <v>0</v>
      </c>
      <c r="AD58" s="49">
        <f t="shared" si="18"/>
        <v>0</v>
      </c>
      <c r="AE58" s="50">
        <f t="shared" si="19"/>
        <v>0</v>
      </c>
      <c r="AF58" s="186"/>
      <c r="AG58" s="322"/>
      <c r="AH58" s="138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4"/>
      <c r="AT58" s="23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4"/>
      <c r="BF58" s="138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1"/>
      <c r="CD58" s="199"/>
      <c r="CE58" s="153"/>
      <c r="CF58" s="156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62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  <c r="DD58" s="123"/>
      <c r="DE58" s="138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4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9"/>
      <c r="EC58" s="132"/>
      <c r="EE58" s="114"/>
      <c r="EF58" s="117"/>
    </row>
    <row r="59" spans="1:136" ht="20.25" customHeight="1">
      <c r="A59" s="128"/>
      <c r="B59" s="254"/>
      <c r="C59" s="183"/>
      <c r="D59" s="246"/>
      <c r="E59" s="241"/>
      <c r="F59" s="84" t="s">
        <v>143</v>
      </c>
      <c r="G59" s="85" t="s">
        <v>152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7"/>
      <c r="T59" s="48">
        <f t="shared" si="8"/>
        <v>0</v>
      </c>
      <c r="U59" s="49">
        <f t="shared" si="9"/>
        <v>0</v>
      </c>
      <c r="V59" s="49">
        <f t="shared" si="10"/>
        <v>0</v>
      </c>
      <c r="W59" s="49">
        <f t="shared" si="11"/>
        <v>0</v>
      </c>
      <c r="X59" s="49">
        <f t="shared" si="12"/>
        <v>0</v>
      </c>
      <c r="Y59" s="49">
        <f t="shared" si="13"/>
        <v>0</v>
      </c>
      <c r="Z59" s="49">
        <f t="shared" si="14"/>
        <v>0</v>
      </c>
      <c r="AA59" s="49">
        <f t="shared" si="15"/>
        <v>0</v>
      </c>
      <c r="AB59" s="49">
        <f t="shared" si="16"/>
        <v>0</v>
      </c>
      <c r="AC59" s="49">
        <f t="shared" si="17"/>
        <v>0</v>
      </c>
      <c r="AD59" s="49">
        <f t="shared" si="18"/>
        <v>0</v>
      </c>
      <c r="AE59" s="50">
        <f t="shared" si="19"/>
        <v>0</v>
      </c>
      <c r="AF59" s="186"/>
      <c r="AG59" s="322"/>
      <c r="AH59" s="138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4"/>
      <c r="AT59" s="234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5"/>
      <c r="BF59" s="138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1"/>
      <c r="CD59" s="199"/>
      <c r="CE59" s="153"/>
      <c r="CF59" s="156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62"/>
      <c r="CR59" s="120"/>
      <c r="CS59" s="120"/>
      <c r="CT59" s="120"/>
      <c r="CU59" s="120"/>
      <c r="CV59" s="120"/>
      <c r="CW59" s="120"/>
      <c r="CX59" s="120"/>
      <c r="CY59" s="120"/>
      <c r="CZ59" s="120"/>
      <c r="DA59" s="120"/>
      <c r="DB59" s="120"/>
      <c r="DC59" s="120"/>
      <c r="DD59" s="123"/>
      <c r="DE59" s="138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4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9"/>
      <c r="EC59" s="132"/>
      <c r="EE59" s="114"/>
      <c r="EF59" s="117"/>
    </row>
    <row r="60" spans="1:136" ht="20.25" customHeight="1">
      <c r="A60" s="128"/>
      <c r="B60" s="254"/>
      <c r="C60" s="183"/>
      <c r="D60" s="246"/>
      <c r="E60" s="242" t="s">
        <v>6</v>
      </c>
      <c r="F60" s="2" t="s">
        <v>144</v>
      </c>
      <c r="G60" s="3" t="s">
        <v>153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7"/>
      <c r="T60" s="48">
        <f t="shared" si="8"/>
        <v>0</v>
      </c>
      <c r="U60" s="49">
        <f t="shared" si="9"/>
        <v>0</v>
      </c>
      <c r="V60" s="49">
        <f t="shared" si="10"/>
        <v>0</v>
      </c>
      <c r="W60" s="49">
        <f t="shared" si="11"/>
        <v>0</v>
      </c>
      <c r="X60" s="49">
        <f t="shared" si="12"/>
        <v>0</v>
      </c>
      <c r="Y60" s="49">
        <f t="shared" si="13"/>
        <v>0</v>
      </c>
      <c r="Z60" s="49">
        <f t="shared" si="14"/>
        <v>0</v>
      </c>
      <c r="AA60" s="49">
        <f t="shared" si="15"/>
        <v>0</v>
      </c>
      <c r="AB60" s="49">
        <f t="shared" si="16"/>
        <v>0</v>
      </c>
      <c r="AC60" s="49">
        <f t="shared" si="17"/>
        <v>0</v>
      </c>
      <c r="AD60" s="49">
        <f t="shared" si="18"/>
        <v>0</v>
      </c>
      <c r="AE60" s="50">
        <f t="shared" si="19"/>
        <v>0</v>
      </c>
      <c r="AF60" s="186"/>
      <c r="AG60" s="322"/>
      <c r="AH60" s="138">
        <f>IFERROR((SUM(T60:T62)/COUNTIF(T60:T62,"&gt;0")),0)</f>
        <v>20.45</v>
      </c>
      <c r="AI60" s="141">
        <f t="shared" ref="AI60:AS60" si="57">IFERROR((SUM(U60:U62)/COUNTIF(U60:U62,"&gt;0")),0)</f>
        <v>10.777777777777779</v>
      </c>
      <c r="AJ60" s="141">
        <f t="shared" si="57"/>
        <v>15.854166666666668</v>
      </c>
      <c r="AK60" s="141">
        <f t="shared" si="57"/>
        <v>20.625</v>
      </c>
      <c r="AL60" s="141">
        <f t="shared" si="57"/>
        <v>24</v>
      </c>
      <c r="AM60" s="141">
        <f t="shared" si="57"/>
        <v>24</v>
      </c>
      <c r="AN60" s="141">
        <f t="shared" si="57"/>
        <v>24</v>
      </c>
      <c r="AO60" s="141">
        <f t="shared" si="57"/>
        <v>0</v>
      </c>
      <c r="AP60" s="141">
        <f t="shared" si="57"/>
        <v>0</v>
      </c>
      <c r="AQ60" s="141">
        <f t="shared" si="57"/>
        <v>0</v>
      </c>
      <c r="AR60" s="141">
        <f t="shared" si="57"/>
        <v>0</v>
      </c>
      <c r="AS60" s="144">
        <f t="shared" si="57"/>
        <v>0</v>
      </c>
      <c r="AT60" s="231">
        <v>1350</v>
      </c>
      <c r="AU60" s="219">
        <v>1341</v>
      </c>
      <c r="AV60" s="219">
        <v>1331</v>
      </c>
      <c r="AW60" s="219">
        <v>1337</v>
      </c>
      <c r="AX60" s="219">
        <v>1345</v>
      </c>
      <c r="AY60" s="219">
        <v>136</v>
      </c>
      <c r="AZ60" s="219">
        <v>137</v>
      </c>
      <c r="BA60" s="219"/>
      <c r="BB60" s="219"/>
      <c r="BC60" s="219"/>
      <c r="BD60" s="219"/>
      <c r="BE60" s="226"/>
      <c r="BF60" s="138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1"/>
      <c r="CD60" s="199"/>
      <c r="CE60" s="153"/>
      <c r="CF60" s="156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62"/>
      <c r="CR60" s="120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  <c r="DD60" s="123"/>
      <c r="DE60" s="138"/>
      <c r="DF60" s="141"/>
      <c r="DG60" s="141"/>
      <c r="DH60" s="141"/>
      <c r="DI60" s="141"/>
      <c r="DJ60" s="141"/>
      <c r="DK60" s="141"/>
      <c r="DL60" s="141"/>
      <c r="DM60" s="141"/>
      <c r="DN60" s="141"/>
      <c r="DO60" s="141"/>
      <c r="DP60" s="144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9"/>
      <c r="EC60" s="132"/>
      <c r="EE60" s="114"/>
      <c r="EF60" s="117"/>
    </row>
    <row r="61" spans="1:136" ht="20.25" customHeight="1">
      <c r="A61" s="128"/>
      <c r="B61" s="254"/>
      <c r="C61" s="183"/>
      <c r="D61" s="246"/>
      <c r="E61" s="243"/>
      <c r="F61" s="2" t="s">
        <v>145</v>
      </c>
      <c r="G61" s="3" t="s">
        <v>154</v>
      </c>
      <c r="H61" s="46"/>
      <c r="I61" s="46"/>
      <c r="J61" s="46"/>
      <c r="K61" s="46"/>
      <c r="L61" s="46"/>
      <c r="M61" s="46"/>
      <c r="N61" s="46">
        <v>1</v>
      </c>
      <c r="O61" s="46"/>
      <c r="P61" s="46"/>
      <c r="Q61" s="46"/>
      <c r="R61" s="46"/>
      <c r="S61" s="47"/>
      <c r="T61" s="48">
        <f t="shared" si="8"/>
        <v>0</v>
      </c>
      <c r="U61" s="49">
        <f t="shared" si="9"/>
        <v>0</v>
      </c>
      <c r="V61" s="49">
        <f t="shared" si="10"/>
        <v>0</v>
      </c>
      <c r="W61" s="49">
        <f t="shared" si="11"/>
        <v>0</v>
      </c>
      <c r="X61" s="49">
        <f t="shared" si="12"/>
        <v>0</v>
      </c>
      <c r="Y61" s="49">
        <f t="shared" si="13"/>
        <v>0</v>
      </c>
      <c r="Z61" s="49">
        <f t="shared" si="14"/>
        <v>24</v>
      </c>
      <c r="AA61" s="49">
        <f t="shared" si="15"/>
        <v>0</v>
      </c>
      <c r="AB61" s="49">
        <f t="shared" si="16"/>
        <v>0</v>
      </c>
      <c r="AC61" s="49">
        <f t="shared" si="17"/>
        <v>0</v>
      </c>
      <c r="AD61" s="49">
        <f t="shared" si="18"/>
        <v>0</v>
      </c>
      <c r="AE61" s="50">
        <f t="shared" si="19"/>
        <v>0</v>
      </c>
      <c r="AF61" s="186"/>
      <c r="AG61" s="322"/>
      <c r="AH61" s="138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4"/>
      <c r="AT61" s="23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4"/>
      <c r="BF61" s="138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4"/>
      <c r="CB61" s="194"/>
      <c r="CC61" s="191"/>
      <c r="CD61" s="199"/>
      <c r="CE61" s="153"/>
      <c r="CF61" s="156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62"/>
      <c r="CR61" s="120"/>
      <c r="CS61" s="120"/>
      <c r="CT61" s="120"/>
      <c r="CU61" s="120"/>
      <c r="CV61" s="120"/>
      <c r="CW61" s="120"/>
      <c r="CX61" s="120"/>
      <c r="CY61" s="120"/>
      <c r="CZ61" s="120"/>
      <c r="DA61" s="120"/>
      <c r="DB61" s="120"/>
      <c r="DC61" s="120"/>
      <c r="DD61" s="123"/>
      <c r="DE61" s="138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4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9"/>
      <c r="EC61" s="132"/>
      <c r="EE61" s="114"/>
      <c r="EF61" s="117"/>
    </row>
    <row r="62" spans="1:136" ht="20.25" customHeight="1" thickBot="1">
      <c r="A62" s="128"/>
      <c r="B62" s="254"/>
      <c r="C62" s="184"/>
      <c r="D62" s="247"/>
      <c r="E62" s="244"/>
      <c r="F62" s="80" t="s">
        <v>146</v>
      </c>
      <c r="G62" s="81" t="s">
        <v>155</v>
      </c>
      <c r="H62" s="51">
        <v>0.8520833333333333</v>
      </c>
      <c r="I62" s="46">
        <v>0.44907407407407413</v>
      </c>
      <c r="J62" s="51">
        <v>0.66059027777777779</v>
      </c>
      <c r="K62" s="46">
        <v>0.859375</v>
      </c>
      <c r="L62" s="46">
        <v>1</v>
      </c>
      <c r="M62" s="46">
        <v>1</v>
      </c>
      <c r="N62" s="51"/>
      <c r="O62" s="51"/>
      <c r="P62" s="51"/>
      <c r="Q62" s="51"/>
      <c r="R62" s="51"/>
      <c r="S62" s="52"/>
      <c r="T62" s="53">
        <f t="shared" si="8"/>
        <v>20.45</v>
      </c>
      <c r="U62" s="54">
        <f>I62*24</f>
        <v>10.777777777777779</v>
      </c>
      <c r="V62" s="54">
        <f t="shared" si="10"/>
        <v>15.854166666666668</v>
      </c>
      <c r="W62" s="54">
        <f t="shared" si="11"/>
        <v>20.625</v>
      </c>
      <c r="X62" s="54">
        <f t="shared" si="12"/>
        <v>24</v>
      </c>
      <c r="Y62" s="54">
        <f t="shared" si="13"/>
        <v>24</v>
      </c>
      <c r="Z62" s="54">
        <f t="shared" si="14"/>
        <v>0</v>
      </c>
      <c r="AA62" s="54">
        <f t="shared" si="15"/>
        <v>0</v>
      </c>
      <c r="AB62" s="54">
        <f t="shared" si="16"/>
        <v>0</v>
      </c>
      <c r="AC62" s="54">
        <f t="shared" si="17"/>
        <v>0</v>
      </c>
      <c r="AD62" s="54">
        <f t="shared" si="18"/>
        <v>0</v>
      </c>
      <c r="AE62" s="55">
        <f t="shared" si="19"/>
        <v>0</v>
      </c>
      <c r="AF62" s="186"/>
      <c r="AG62" s="322"/>
      <c r="AH62" s="139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5"/>
      <c r="AT62" s="233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30"/>
      <c r="BF62" s="139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5"/>
      <c r="BR62" s="195"/>
      <c r="BS62" s="195"/>
      <c r="BT62" s="195"/>
      <c r="BU62" s="195"/>
      <c r="BV62" s="195"/>
      <c r="BW62" s="195"/>
      <c r="BX62" s="195"/>
      <c r="BY62" s="195"/>
      <c r="BZ62" s="195"/>
      <c r="CA62" s="195"/>
      <c r="CB62" s="195"/>
      <c r="CC62" s="197"/>
      <c r="CD62" s="200"/>
      <c r="CE62" s="154"/>
      <c r="CF62" s="156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62"/>
      <c r="CR62" s="120"/>
      <c r="CS62" s="120"/>
      <c r="CT62" s="120"/>
      <c r="CU62" s="120"/>
      <c r="CV62" s="120"/>
      <c r="CW62" s="120"/>
      <c r="CX62" s="120"/>
      <c r="CY62" s="120"/>
      <c r="CZ62" s="120"/>
      <c r="DA62" s="120"/>
      <c r="DB62" s="120"/>
      <c r="DC62" s="120"/>
      <c r="DD62" s="123"/>
      <c r="DE62" s="138"/>
      <c r="DF62" s="141"/>
      <c r="DG62" s="141"/>
      <c r="DH62" s="141"/>
      <c r="DI62" s="141"/>
      <c r="DJ62" s="141"/>
      <c r="DK62" s="141"/>
      <c r="DL62" s="141"/>
      <c r="DM62" s="141"/>
      <c r="DN62" s="141"/>
      <c r="DO62" s="141"/>
      <c r="DP62" s="144"/>
      <c r="DQ62" s="106"/>
      <c r="DR62" s="106"/>
      <c r="DS62" s="106"/>
      <c r="DT62" s="106"/>
      <c r="DU62" s="106"/>
      <c r="DV62" s="106"/>
      <c r="DW62" s="106"/>
      <c r="DX62" s="106"/>
      <c r="DY62" s="106"/>
      <c r="DZ62" s="106"/>
      <c r="EA62" s="106"/>
      <c r="EB62" s="109"/>
      <c r="EC62" s="132"/>
      <c r="EE62" s="114"/>
      <c r="EF62" s="117"/>
    </row>
    <row r="63" spans="1:136" ht="20.25" customHeight="1">
      <c r="A63" s="128"/>
      <c r="B63" s="254"/>
      <c r="C63" s="182" t="s">
        <v>23</v>
      </c>
      <c r="D63" s="245" t="s">
        <v>124</v>
      </c>
      <c r="E63" s="236" t="s">
        <v>4</v>
      </c>
      <c r="F63" s="78" t="s">
        <v>180</v>
      </c>
      <c r="G63" s="79" t="s">
        <v>190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2"/>
      <c r="T63" s="43">
        <f t="shared" si="8"/>
        <v>0</v>
      </c>
      <c r="U63" s="90">
        <f>I63*24</f>
        <v>0</v>
      </c>
      <c r="V63" s="90">
        <f t="shared" si="10"/>
        <v>0</v>
      </c>
      <c r="W63" s="90">
        <f t="shared" si="11"/>
        <v>0</v>
      </c>
      <c r="X63" s="90">
        <f t="shared" si="12"/>
        <v>0</v>
      </c>
      <c r="Y63" s="90">
        <f t="shared" si="13"/>
        <v>0</v>
      </c>
      <c r="Z63" s="90">
        <f t="shared" si="14"/>
        <v>0</v>
      </c>
      <c r="AA63" s="90">
        <f t="shared" si="15"/>
        <v>0</v>
      </c>
      <c r="AB63" s="90">
        <f t="shared" si="16"/>
        <v>0</v>
      </c>
      <c r="AC63" s="44">
        <f t="shared" si="17"/>
        <v>0</v>
      </c>
      <c r="AD63" s="44">
        <f t="shared" si="18"/>
        <v>0</v>
      </c>
      <c r="AE63" s="45">
        <f t="shared" si="19"/>
        <v>0</v>
      </c>
      <c r="AF63" s="186"/>
      <c r="AG63" s="322"/>
      <c r="AH63" s="137">
        <f>IFERROR((SUM(T63:T66)/COUNTIF(T63:T66,"&gt;0")),0)</f>
        <v>10.883333333333333</v>
      </c>
      <c r="AI63" s="140">
        <f t="shared" ref="AI63:AS63" si="58">IFERROR((SUM(U63:U66)/COUNTIF(U63:U66,"&gt;0")),0)</f>
        <v>6.4722222222222223</v>
      </c>
      <c r="AJ63" s="140">
        <f t="shared" si="58"/>
        <v>10.305555555555555</v>
      </c>
      <c r="AK63" s="140">
        <f t="shared" si="58"/>
        <v>6.666666666666667</v>
      </c>
      <c r="AL63" s="140">
        <f t="shared" si="58"/>
        <v>8.6458333333333339</v>
      </c>
      <c r="AM63" s="140">
        <f t="shared" si="58"/>
        <v>11.222222222222223</v>
      </c>
      <c r="AN63" s="140">
        <f t="shared" si="58"/>
        <v>7.5</v>
      </c>
      <c r="AO63" s="140">
        <f t="shared" si="58"/>
        <v>0</v>
      </c>
      <c r="AP63" s="140">
        <f t="shared" si="58"/>
        <v>0</v>
      </c>
      <c r="AQ63" s="140">
        <f t="shared" si="58"/>
        <v>0</v>
      </c>
      <c r="AR63" s="140">
        <f t="shared" si="58"/>
        <v>0</v>
      </c>
      <c r="AS63" s="143">
        <f t="shared" si="58"/>
        <v>0</v>
      </c>
      <c r="AT63" s="235">
        <v>1076</v>
      </c>
      <c r="AU63" s="221">
        <v>1941</v>
      </c>
      <c r="AV63" s="221">
        <v>1971</v>
      </c>
      <c r="AW63" s="221">
        <v>1966</v>
      </c>
      <c r="AX63" s="221">
        <v>1938</v>
      </c>
      <c r="AY63" s="221">
        <v>1948</v>
      </c>
      <c r="AZ63" s="221">
        <v>1976</v>
      </c>
      <c r="BA63" s="221"/>
      <c r="BB63" s="221"/>
      <c r="BC63" s="221"/>
      <c r="BD63" s="221"/>
      <c r="BE63" s="223"/>
      <c r="BF63" s="137">
        <f>IFERROR((((AH63*AT63)+(AH67*AT67)+(AH71*AT71))/SUM(AT63:AT74)),0)</f>
        <v>7.6122680249545915</v>
      </c>
      <c r="BG63" s="140">
        <f t="shared" ref="BG63:BQ63" si="59">IFERROR((((AI63*AU63)+(AI67*AU67)+(AI71*AU71))/SUM(AU63:AU74)),0)</f>
        <v>7.8475215227333877</v>
      </c>
      <c r="BH63" s="140">
        <f t="shared" si="59"/>
        <v>10.458713506066868</v>
      </c>
      <c r="BI63" s="140">
        <f>IFERROR((((AK63*AW63)+(AK67*AW67)+(AK71*AW71))/SUM(AW63:AW74)),0)</f>
        <v>8.1739996811732833</v>
      </c>
      <c r="BJ63" s="140">
        <f t="shared" si="59"/>
        <v>12.015211415635864</v>
      </c>
      <c r="BK63" s="140">
        <f t="shared" si="59"/>
        <v>14.633499570999572</v>
      </c>
      <c r="BL63" s="140">
        <f t="shared" si="59"/>
        <v>13.125785038556325</v>
      </c>
      <c r="BM63" s="140">
        <f t="shared" si="59"/>
        <v>0</v>
      </c>
      <c r="BN63" s="140">
        <f t="shared" si="59"/>
        <v>0</v>
      </c>
      <c r="BO63" s="140">
        <f t="shared" si="59"/>
        <v>0</v>
      </c>
      <c r="BP63" s="140">
        <f t="shared" si="59"/>
        <v>0</v>
      </c>
      <c r="BQ63" s="143">
        <f t="shared" si="59"/>
        <v>0</v>
      </c>
      <c r="BR63" s="212">
        <f>SUM(AT63:AT74)</f>
        <v>4221</v>
      </c>
      <c r="BS63" s="212">
        <f t="shared" ref="BS63:CC63" si="60">SUM(AU63:AU74)</f>
        <v>4130</v>
      </c>
      <c r="BT63" s="212">
        <f t="shared" si="60"/>
        <v>4194</v>
      </c>
      <c r="BU63" s="212">
        <f t="shared" si="60"/>
        <v>4182</v>
      </c>
      <c r="BV63" s="212">
        <f t="shared" si="60"/>
        <v>4123</v>
      </c>
      <c r="BW63" s="212">
        <f t="shared" si="60"/>
        <v>4144</v>
      </c>
      <c r="BX63" s="212">
        <f t="shared" si="60"/>
        <v>4193</v>
      </c>
      <c r="BY63" s="212">
        <f t="shared" si="60"/>
        <v>0</v>
      </c>
      <c r="BZ63" s="212">
        <f t="shared" si="60"/>
        <v>0</v>
      </c>
      <c r="CA63" s="212">
        <f t="shared" si="60"/>
        <v>0</v>
      </c>
      <c r="CB63" s="212">
        <f t="shared" si="60"/>
        <v>0</v>
      </c>
      <c r="CC63" s="190">
        <f t="shared" si="60"/>
        <v>0</v>
      </c>
      <c r="CD63" s="198">
        <f>IFERROR(((BF63*BR63)+(BG63*BS63)+(BH63*BT63)+(BI63*BU63)+(BJ63*BV63)+(BK63*BW63)+(BL63*BX63)+(BM63*BY63)+(BN63*BZ63)+(BO63*CA63)+(BP63*CB63)+(BQ63*CC63))/SUM(BR63:CC74),0)</f>
        <v>10.545979850237739</v>
      </c>
      <c r="CE63" s="152">
        <f>CD63</f>
        <v>10.545979850237739</v>
      </c>
      <c r="CF63" s="156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62"/>
      <c r="CR63" s="120"/>
      <c r="CS63" s="120"/>
      <c r="CT63" s="120"/>
      <c r="CU63" s="120"/>
      <c r="CV63" s="120"/>
      <c r="CW63" s="120"/>
      <c r="CX63" s="120"/>
      <c r="CY63" s="120"/>
      <c r="CZ63" s="120"/>
      <c r="DA63" s="120"/>
      <c r="DB63" s="120"/>
      <c r="DC63" s="120"/>
      <c r="DD63" s="123"/>
      <c r="DE63" s="138"/>
      <c r="DF63" s="141"/>
      <c r="DG63" s="141"/>
      <c r="DH63" s="141"/>
      <c r="DI63" s="141"/>
      <c r="DJ63" s="141"/>
      <c r="DK63" s="141"/>
      <c r="DL63" s="141"/>
      <c r="DM63" s="141"/>
      <c r="DN63" s="141"/>
      <c r="DO63" s="141"/>
      <c r="DP63" s="144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9"/>
      <c r="EC63" s="132"/>
      <c r="EE63" s="114"/>
      <c r="EF63" s="117"/>
    </row>
    <row r="64" spans="1:136" ht="20.25" customHeight="1">
      <c r="A64" s="128"/>
      <c r="B64" s="254"/>
      <c r="C64" s="183"/>
      <c r="D64" s="246"/>
      <c r="E64" s="237"/>
      <c r="F64" s="22" t="s">
        <v>272</v>
      </c>
      <c r="G64" s="23" t="s">
        <v>191</v>
      </c>
      <c r="H64" s="46">
        <v>0.45347222222222222</v>
      </c>
      <c r="I64" s="46">
        <v>0.26967592592592593</v>
      </c>
      <c r="J64" s="46">
        <v>0.42939814814814814</v>
      </c>
      <c r="K64" s="46">
        <v>0.27777777777777779</v>
      </c>
      <c r="L64" s="46">
        <v>0.36024305555555558</v>
      </c>
      <c r="M64" s="46">
        <v>0.46759259259259262</v>
      </c>
      <c r="N64" s="46"/>
      <c r="O64" s="46"/>
      <c r="P64" s="46"/>
      <c r="Q64" s="46"/>
      <c r="R64" s="46"/>
      <c r="S64" s="47"/>
      <c r="T64" s="48">
        <f t="shared" si="8"/>
        <v>10.883333333333333</v>
      </c>
      <c r="U64" s="49">
        <f>I64*24</f>
        <v>6.4722222222222223</v>
      </c>
      <c r="V64" s="49">
        <f t="shared" si="10"/>
        <v>10.305555555555555</v>
      </c>
      <c r="W64" s="49">
        <f t="shared" si="11"/>
        <v>6.666666666666667</v>
      </c>
      <c r="X64" s="49">
        <f t="shared" si="12"/>
        <v>8.6458333333333339</v>
      </c>
      <c r="Y64" s="49">
        <f t="shared" si="13"/>
        <v>11.222222222222223</v>
      </c>
      <c r="Z64" s="49">
        <f t="shared" si="14"/>
        <v>0</v>
      </c>
      <c r="AA64" s="49">
        <f t="shared" si="15"/>
        <v>0</v>
      </c>
      <c r="AB64" s="49">
        <f t="shared" si="16"/>
        <v>0</v>
      </c>
      <c r="AC64" s="49">
        <f t="shared" si="17"/>
        <v>0</v>
      </c>
      <c r="AD64" s="49">
        <f t="shared" si="18"/>
        <v>0</v>
      </c>
      <c r="AE64" s="50">
        <f t="shared" si="19"/>
        <v>0</v>
      </c>
      <c r="AF64" s="186"/>
      <c r="AG64" s="322"/>
      <c r="AH64" s="138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4"/>
      <c r="AT64" s="23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4"/>
      <c r="BF64" s="138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4"/>
      <c r="CB64" s="194"/>
      <c r="CC64" s="191"/>
      <c r="CD64" s="199"/>
      <c r="CE64" s="153"/>
      <c r="CF64" s="156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62"/>
      <c r="CR64" s="120"/>
      <c r="CS64" s="120"/>
      <c r="CT64" s="120"/>
      <c r="CU64" s="120"/>
      <c r="CV64" s="120"/>
      <c r="CW64" s="120"/>
      <c r="CX64" s="120"/>
      <c r="CY64" s="120"/>
      <c r="CZ64" s="120"/>
      <c r="DA64" s="120"/>
      <c r="DB64" s="120"/>
      <c r="DC64" s="120"/>
      <c r="DD64" s="123"/>
      <c r="DE64" s="138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4"/>
      <c r="DQ64" s="106"/>
      <c r="DR64" s="106"/>
      <c r="DS64" s="106"/>
      <c r="DT64" s="106"/>
      <c r="DU64" s="106"/>
      <c r="DV64" s="106"/>
      <c r="DW64" s="106"/>
      <c r="DX64" s="106"/>
      <c r="DY64" s="106"/>
      <c r="DZ64" s="106"/>
      <c r="EA64" s="106"/>
      <c r="EB64" s="109"/>
      <c r="EC64" s="132"/>
      <c r="EE64" s="114"/>
      <c r="EF64" s="117"/>
    </row>
    <row r="65" spans="1:136" ht="20.25" customHeight="1">
      <c r="A65" s="128"/>
      <c r="B65" s="254"/>
      <c r="C65" s="183"/>
      <c r="D65" s="246"/>
      <c r="E65" s="237"/>
      <c r="F65" s="2" t="s">
        <v>181</v>
      </c>
      <c r="G65" s="3" t="s">
        <v>192</v>
      </c>
      <c r="H65" s="46"/>
      <c r="I65" s="46"/>
      <c r="J65" s="46"/>
      <c r="K65" s="46"/>
      <c r="L65" s="46"/>
      <c r="M65" s="46"/>
      <c r="N65" s="46">
        <v>0.3125</v>
      </c>
      <c r="O65" s="46"/>
      <c r="P65" s="46"/>
      <c r="Q65" s="46"/>
      <c r="R65" s="46"/>
      <c r="S65" s="47"/>
      <c r="T65" s="48">
        <f t="shared" si="8"/>
        <v>0</v>
      </c>
      <c r="U65" s="49">
        <f t="shared" si="9"/>
        <v>0</v>
      </c>
      <c r="V65" s="49">
        <f t="shared" si="10"/>
        <v>0</v>
      </c>
      <c r="W65" s="49">
        <f t="shared" si="11"/>
        <v>0</v>
      </c>
      <c r="X65" s="49">
        <f t="shared" si="12"/>
        <v>0</v>
      </c>
      <c r="Y65" s="49">
        <f t="shared" si="13"/>
        <v>0</v>
      </c>
      <c r="Z65" s="49">
        <f t="shared" si="13"/>
        <v>7.5</v>
      </c>
      <c r="AA65" s="49">
        <f t="shared" si="15"/>
        <v>0</v>
      </c>
      <c r="AB65" s="49">
        <f t="shared" si="16"/>
        <v>0</v>
      </c>
      <c r="AC65" s="49">
        <f t="shared" si="17"/>
        <v>0</v>
      </c>
      <c r="AD65" s="49">
        <f t="shared" si="18"/>
        <v>0</v>
      </c>
      <c r="AE65" s="50">
        <f t="shared" si="19"/>
        <v>0</v>
      </c>
      <c r="AF65" s="186"/>
      <c r="AG65" s="322"/>
      <c r="AH65" s="138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4"/>
      <c r="AT65" s="23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4"/>
      <c r="BF65" s="138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1"/>
      <c r="CD65" s="199"/>
      <c r="CE65" s="153"/>
      <c r="CF65" s="156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62"/>
      <c r="CR65" s="120"/>
      <c r="CS65" s="120"/>
      <c r="CT65" s="120"/>
      <c r="CU65" s="120"/>
      <c r="CV65" s="120"/>
      <c r="CW65" s="120"/>
      <c r="CX65" s="120"/>
      <c r="CY65" s="120"/>
      <c r="CZ65" s="120"/>
      <c r="DA65" s="120"/>
      <c r="DB65" s="120"/>
      <c r="DC65" s="120"/>
      <c r="DD65" s="123"/>
      <c r="DE65" s="138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4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9"/>
      <c r="EC65" s="132"/>
      <c r="EE65" s="114"/>
      <c r="EF65" s="117"/>
    </row>
    <row r="66" spans="1:136" ht="20.25" customHeight="1">
      <c r="A66" s="128"/>
      <c r="B66" s="254"/>
      <c r="C66" s="183"/>
      <c r="D66" s="246"/>
      <c r="E66" s="238"/>
      <c r="F66" s="2" t="s">
        <v>182</v>
      </c>
      <c r="G66" s="3" t="s">
        <v>193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7"/>
      <c r="T66" s="48">
        <f t="shared" si="8"/>
        <v>0</v>
      </c>
      <c r="U66" s="49">
        <f t="shared" si="9"/>
        <v>0</v>
      </c>
      <c r="V66" s="49">
        <f t="shared" si="10"/>
        <v>0</v>
      </c>
      <c r="W66" s="49">
        <f t="shared" si="11"/>
        <v>0</v>
      </c>
      <c r="X66" s="49">
        <f t="shared" si="12"/>
        <v>0</v>
      </c>
      <c r="Y66" s="49">
        <f t="shared" si="13"/>
        <v>0</v>
      </c>
      <c r="Z66" s="49">
        <f t="shared" si="14"/>
        <v>0</v>
      </c>
      <c r="AA66" s="49">
        <f t="shared" si="15"/>
        <v>0</v>
      </c>
      <c r="AB66" s="49">
        <f t="shared" si="16"/>
        <v>0</v>
      </c>
      <c r="AC66" s="49">
        <f t="shared" si="17"/>
        <v>0</v>
      </c>
      <c r="AD66" s="49">
        <f t="shared" si="18"/>
        <v>0</v>
      </c>
      <c r="AE66" s="50">
        <f t="shared" si="19"/>
        <v>0</v>
      </c>
      <c r="AF66" s="186"/>
      <c r="AG66" s="322"/>
      <c r="AH66" s="138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4"/>
      <c r="AT66" s="234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5"/>
      <c r="BF66" s="138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4"/>
      <c r="CB66" s="194"/>
      <c r="CC66" s="191"/>
      <c r="CD66" s="199"/>
      <c r="CE66" s="153"/>
      <c r="CF66" s="156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62"/>
      <c r="CR66" s="120"/>
      <c r="CS66" s="120"/>
      <c r="CT66" s="120"/>
      <c r="CU66" s="120"/>
      <c r="CV66" s="120"/>
      <c r="CW66" s="120"/>
      <c r="CX66" s="120"/>
      <c r="CY66" s="120"/>
      <c r="CZ66" s="120"/>
      <c r="DA66" s="120"/>
      <c r="DB66" s="120"/>
      <c r="DC66" s="120"/>
      <c r="DD66" s="123"/>
      <c r="DE66" s="138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4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9"/>
      <c r="EC66" s="132"/>
      <c r="EE66" s="114"/>
      <c r="EF66" s="117"/>
    </row>
    <row r="67" spans="1:136" ht="20.25" customHeight="1">
      <c r="A67" s="128"/>
      <c r="B67" s="254"/>
      <c r="C67" s="183"/>
      <c r="D67" s="246"/>
      <c r="E67" s="239" t="s">
        <v>5</v>
      </c>
      <c r="F67" s="2" t="s">
        <v>183</v>
      </c>
      <c r="G67" s="3" t="s">
        <v>194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7"/>
      <c r="T67" s="48">
        <f t="shared" si="8"/>
        <v>0</v>
      </c>
      <c r="U67" s="49">
        <f t="shared" si="9"/>
        <v>0</v>
      </c>
      <c r="V67" s="49">
        <f t="shared" si="10"/>
        <v>0</v>
      </c>
      <c r="W67" s="49">
        <f t="shared" si="11"/>
        <v>0</v>
      </c>
      <c r="X67" s="49">
        <f t="shared" si="12"/>
        <v>0</v>
      </c>
      <c r="Y67" s="49">
        <f t="shared" si="13"/>
        <v>0</v>
      </c>
      <c r="Z67" s="49">
        <f t="shared" si="14"/>
        <v>0</v>
      </c>
      <c r="AA67" s="49">
        <f t="shared" si="15"/>
        <v>0</v>
      </c>
      <c r="AB67" s="49">
        <f t="shared" si="16"/>
        <v>0</v>
      </c>
      <c r="AC67" s="49">
        <f t="shared" si="17"/>
        <v>0</v>
      </c>
      <c r="AD67" s="49">
        <f t="shared" si="18"/>
        <v>0</v>
      </c>
      <c r="AE67" s="50">
        <f t="shared" si="19"/>
        <v>0</v>
      </c>
      <c r="AF67" s="186"/>
      <c r="AG67" s="322"/>
      <c r="AH67" s="138">
        <f>IFERROR((SUM(T67:T70)/COUNTIF(T67:T70,"&gt;0")),0)</f>
        <v>12.716666666666667</v>
      </c>
      <c r="AI67" s="141">
        <f t="shared" ref="AI67:AS67" si="61">IFERROR((SUM(U67:U70)/COUNTIF(U67:U70,"&gt;0")),0)</f>
        <v>5.2777777777777777</v>
      </c>
      <c r="AJ67" s="141">
        <f t="shared" si="61"/>
        <v>10.152777777777779</v>
      </c>
      <c r="AK67" s="141">
        <f t="shared" si="61"/>
        <v>8.3125</v>
      </c>
      <c r="AL67" s="141">
        <f t="shared" si="61"/>
        <v>14.604166666666666</v>
      </c>
      <c r="AM67" s="141">
        <f t="shared" si="61"/>
        <v>18.305555555555557</v>
      </c>
      <c r="AN67" s="141">
        <f t="shared" si="61"/>
        <v>18.416666666666668</v>
      </c>
      <c r="AO67" s="141">
        <f t="shared" si="61"/>
        <v>0</v>
      </c>
      <c r="AP67" s="141">
        <f t="shared" si="61"/>
        <v>0</v>
      </c>
      <c r="AQ67" s="141">
        <f t="shared" si="61"/>
        <v>0</v>
      </c>
      <c r="AR67" s="141">
        <f t="shared" si="61"/>
        <v>0</v>
      </c>
      <c r="AS67" s="144">
        <f t="shared" si="61"/>
        <v>0</v>
      </c>
      <c r="AT67" s="231">
        <v>1029</v>
      </c>
      <c r="AU67" s="219">
        <v>1280</v>
      </c>
      <c r="AV67" s="219">
        <v>1300</v>
      </c>
      <c r="AW67" s="219">
        <v>1296</v>
      </c>
      <c r="AX67" s="219">
        <v>1278</v>
      </c>
      <c r="AY67" s="219">
        <v>1284</v>
      </c>
      <c r="AZ67" s="219">
        <v>1297</v>
      </c>
      <c r="BA67" s="219"/>
      <c r="BB67" s="219"/>
      <c r="BC67" s="219"/>
      <c r="BD67" s="219"/>
      <c r="BE67" s="226"/>
      <c r="BF67" s="138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1"/>
      <c r="CD67" s="199"/>
      <c r="CE67" s="153"/>
      <c r="CF67" s="156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62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20"/>
      <c r="DC67" s="120"/>
      <c r="DD67" s="123"/>
      <c r="DE67" s="138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4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9"/>
      <c r="EC67" s="132"/>
      <c r="EE67" s="114"/>
      <c r="EF67" s="117"/>
    </row>
    <row r="68" spans="1:136" ht="20.25" customHeight="1">
      <c r="A68" s="128"/>
      <c r="B68" s="254"/>
      <c r="C68" s="183"/>
      <c r="D68" s="246"/>
      <c r="E68" s="240"/>
      <c r="F68" s="84" t="s">
        <v>277</v>
      </c>
      <c r="G68" s="85" t="s">
        <v>195</v>
      </c>
      <c r="H68" s="46">
        <v>0.52986111111111112</v>
      </c>
      <c r="I68" s="46">
        <v>0.21990740740740741</v>
      </c>
      <c r="J68" s="46">
        <v>0.42303240740740744</v>
      </c>
      <c r="K68" s="46">
        <v>0.34635416666666669</v>
      </c>
      <c r="L68" s="46">
        <v>0.60850694444444442</v>
      </c>
      <c r="M68" s="46">
        <v>0.76273148148148151</v>
      </c>
      <c r="N68" s="46">
        <v>0.76736111111111116</v>
      </c>
      <c r="O68" s="46"/>
      <c r="P68" s="46"/>
      <c r="Q68" s="46"/>
      <c r="R68" s="46"/>
      <c r="S68" s="47"/>
      <c r="T68" s="48">
        <f t="shared" si="8"/>
        <v>12.716666666666667</v>
      </c>
      <c r="U68" s="49">
        <f t="shared" si="9"/>
        <v>5.2777777777777777</v>
      </c>
      <c r="V68" s="49">
        <f t="shared" si="10"/>
        <v>10.152777777777779</v>
      </c>
      <c r="W68" s="49">
        <f t="shared" si="11"/>
        <v>8.3125</v>
      </c>
      <c r="X68" s="49">
        <f t="shared" si="12"/>
        <v>14.604166666666666</v>
      </c>
      <c r="Y68" s="49">
        <f t="shared" si="13"/>
        <v>18.305555555555557</v>
      </c>
      <c r="Z68" s="49">
        <f t="shared" si="14"/>
        <v>18.416666666666668</v>
      </c>
      <c r="AA68" s="49">
        <f t="shared" si="15"/>
        <v>0</v>
      </c>
      <c r="AB68" s="49">
        <f t="shared" si="16"/>
        <v>0</v>
      </c>
      <c r="AC68" s="49">
        <f t="shared" si="17"/>
        <v>0</v>
      </c>
      <c r="AD68" s="49">
        <f t="shared" si="18"/>
        <v>0</v>
      </c>
      <c r="AE68" s="50">
        <f t="shared" si="19"/>
        <v>0</v>
      </c>
      <c r="AF68" s="186"/>
      <c r="AG68" s="322"/>
      <c r="AH68" s="138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4"/>
      <c r="AT68" s="23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4"/>
      <c r="BF68" s="138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4"/>
      <c r="BR68" s="194"/>
      <c r="BS68" s="194"/>
      <c r="BT68" s="194"/>
      <c r="BU68" s="194"/>
      <c r="BV68" s="194"/>
      <c r="BW68" s="194"/>
      <c r="BX68" s="194"/>
      <c r="BY68" s="194"/>
      <c r="BZ68" s="194"/>
      <c r="CA68" s="194"/>
      <c r="CB68" s="194"/>
      <c r="CC68" s="191"/>
      <c r="CD68" s="199"/>
      <c r="CE68" s="153"/>
      <c r="CF68" s="156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62"/>
      <c r="CR68" s="120"/>
      <c r="CS68" s="120"/>
      <c r="CT68" s="120"/>
      <c r="CU68" s="120"/>
      <c r="CV68" s="120"/>
      <c r="CW68" s="120"/>
      <c r="CX68" s="120"/>
      <c r="CY68" s="120"/>
      <c r="CZ68" s="120"/>
      <c r="DA68" s="120"/>
      <c r="DB68" s="120"/>
      <c r="DC68" s="120"/>
      <c r="DD68" s="123"/>
      <c r="DE68" s="138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4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9"/>
      <c r="EC68" s="132"/>
      <c r="EE68" s="114"/>
      <c r="EF68" s="117"/>
    </row>
    <row r="69" spans="1:136" ht="20.25" customHeight="1">
      <c r="A69" s="128"/>
      <c r="B69" s="254"/>
      <c r="C69" s="183"/>
      <c r="D69" s="246"/>
      <c r="E69" s="240"/>
      <c r="F69" s="2" t="s">
        <v>184</v>
      </c>
      <c r="G69" s="3" t="s">
        <v>196</v>
      </c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7"/>
      <c r="T69" s="48">
        <f t="shared" si="8"/>
        <v>0</v>
      </c>
      <c r="U69" s="49">
        <f t="shared" si="9"/>
        <v>0</v>
      </c>
      <c r="V69" s="49">
        <f t="shared" si="10"/>
        <v>0</v>
      </c>
      <c r="W69" s="49">
        <f t="shared" si="11"/>
        <v>0</v>
      </c>
      <c r="X69" s="49">
        <f t="shared" si="12"/>
        <v>0</v>
      </c>
      <c r="Y69" s="49">
        <f t="shared" si="13"/>
        <v>0</v>
      </c>
      <c r="Z69" s="49">
        <f t="shared" si="14"/>
        <v>0</v>
      </c>
      <c r="AA69" s="49">
        <f t="shared" si="15"/>
        <v>0</v>
      </c>
      <c r="AB69" s="49">
        <f t="shared" si="16"/>
        <v>0</v>
      </c>
      <c r="AC69" s="49">
        <f t="shared" si="17"/>
        <v>0</v>
      </c>
      <c r="AD69" s="49">
        <f t="shared" si="18"/>
        <v>0</v>
      </c>
      <c r="AE69" s="50">
        <f t="shared" si="19"/>
        <v>0</v>
      </c>
      <c r="AF69" s="186"/>
      <c r="AG69" s="322"/>
      <c r="AH69" s="138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4"/>
      <c r="AT69" s="23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4"/>
      <c r="BF69" s="138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1"/>
      <c r="CD69" s="199"/>
      <c r="CE69" s="153"/>
      <c r="CF69" s="156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62"/>
      <c r="CR69" s="120"/>
      <c r="CS69" s="120"/>
      <c r="CT69" s="120"/>
      <c r="CU69" s="120"/>
      <c r="CV69" s="120"/>
      <c r="CW69" s="120"/>
      <c r="CX69" s="120"/>
      <c r="CY69" s="120"/>
      <c r="CZ69" s="120"/>
      <c r="DA69" s="120"/>
      <c r="DB69" s="120"/>
      <c r="DC69" s="120"/>
      <c r="DD69" s="123"/>
      <c r="DE69" s="138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4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9"/>
      <c r="EC69" s="132"/>
      <c r="EE69" s="114"/>
      <c r="EF69" s="117"/>
    </row>
    <row r="70" spans="1:136" ht="20.25" customHeight="1">
      <c r="A70" s="128"/>
      <c r="B70" s="254"/>
      <c r="C70" s="183"/>
      <c r="D70" s="246"/>
      <c r="E70" s="241"/>
      <c r="F70" s="22" t="s">
        <v>185</v>
      </c>
      <c r="G70" s="23" t="s">
        <v>197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7"/>
      <c r="T70" s="48">
        <f t="shared" si="8"/>
        <v>0</v>
      </c>
      <c r="U70" s="49">
        <f t="shared" si="9"/>
        <v>0</v>
      </c>
      <c r="V70" s="49">
        <f t="shared" si="10"/>
        <v>0</v>
      </c>
      <c r="W70" s="49">
        <f t="shared" si="11"/>
        <v>0</v>
      </c>
      <c r="X70" s="49">
        <f t="shared" si="12"/>
        <v>0</v>
      </c>
      <c r="Y70" s="49">
        <f t="shared" si="13"/>
        <v>0</v>
      </c>
      <c r="Z70" s="49">
        <f t="shared" si="14"/>
        <v>0</v>
      </c>
      <c r="AA70" s="49">
        <f t="shared" si="15"/>
        <v>0</v>
      </c>
      <c r="AB70" s="49">
        <f t="shared" si="16"/>
        <v>0</v>
      </c>
      <c r="AC70" s="49">
        <f t="shared" si="17"/>
        <v>0</v>
      </c>
      <c r="AD70" s="49">
        <f t="shared" si="18"/>
        <v>0</v>
      </c>
      <c r="AE70" s="50">
        <f t="shared" si="19"/>
        <v>0</v>
      </c>
      <c r="AF70" s="186"/>
      <c r="AG70" s="322"/>
      <c r="AH70" s="138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4"/>
      <c r="AT70" s="234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5"/>
      <c r="BF70" s="138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1"/>
      <c r="CD70" s="199"/>
      <c r="CE70" s="153"/>
      <c r="CF70" s="156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62"/>
      <c r="CR70" s="120"/>
      <c r="CS70" s="120"/>
      <c r="CT70" s="120"/>
      <c r="CU70" s="120"/>
      <c r="CV70" s="120"/>
      <c r="CW70" s="120"/>
      <c r="CX70" s="120"/>
      <c r="CY70" s="120"/>
      <c r="CZ70" s="120"/>
      <c r="DA70" s="120"/>
      <c r="DB70" s="120"/>
      <c r="DC70" s="120"/>
      <c r="DD70" s="123"/>
      <c r="DE70" s="138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4"/>
      <c r="DQ70" s="106"/>
      <c r="DR70" s="106"/>
      <c r="DS70" s="106"/>
      <c r="DT70" s="106"/>
      <c r="DU70" s="106"/>
      <c r="DV70" s="106"/>
      <c r="DW70" s="106"/>
      <c r="DX70" s="106"/>
      <c r="DY70" s="106"/>
      <c r="DZ70" s="106"/>
      <c r="EA70" s="106"/>
      <c r="EB70" s="109"/>
      <c r="EC70" s="132"/>
      <c r="EE70" s="114"/>
      <c r="EF70" s="117"/>
    </row>
    <row r="71" spans="1:136" ht="20.25" customHeight="1">
      <c r="A71" s="128"/>
      <c r="B71" s="254"/>
      <c r="C71" s="183"/>
      <c r="D71" s="246"/>
      <c r="E71" s="242" t="s">
        <v>6</v>
      </c>
      <c r="F71" s="2" t="s">
        <v>186</v>
      </c>
      <c r="G71" s="3" t="s">
        <v>198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7"/>
      <c r="T71" s="48">
        <f t="shared" si="8"/>
        <v>0</v>
      </c>
      <c r="U71" s="49">
        <f t="shared" si="9"/>
        <v>0</v>
      </c>
      <c r="V71" s="49">
        <f t="shared" si="10"/>
        <v>0</v>
      </c>
      <c r="W71" s="49">
        <f t="shared" si="11"/>
        <v>0</v>
      </c>
      <c r="X71" s="49">
        <f t="shared" si="12"/>
        <v>0</v>
      </c>
      <c r="Y71" s="49">
        <f t="shared" si="13"/>
        <v>0</v>
      </c>
      <c r="Z71" s="49">
        <f t="shared" si="14"/>
        <v>0</v>
      </c>
      <c r="AA71" s="49">
        <f t="shared" si="15"/>
        <v>0</v>
      </c>
      <c r="AB71" s="49">
        <f t="shared" si="16"/>
        <v>0</v>
      </c>
      <c r="AC71" s="49">
        <f t="shared" si="17"/>
        <v>0</v>
      </c>
      <c r="AD71" s="49">
        <f t="shared" si="18"/>
        <v>0</v>
      </c>
      <c r="AE71" s="50">
        <f t="shared" si="19"/>
        <v>0</v>
      </c>
      <c r="AF71" s="186"/>
      <c r="AG71" s="322"/>
      <c r="AH71" s="138">
        <f>IFERROR((SUM(T71:T74)/COUNTIF(T71:T74,"&gt;0")),0)</f>
        <v>3.4666666666666663</v>
      </c>
      <c r="AI71" s="141">
        <f t="shared" ref="AI71:AS71" si="62">IFERROR((SUM(U71:U74)/COUNTIF(U71:U74,"&gt;0")),0)</f>
        <v>14.402777777777779</v>
      </c>
      <c r="AJ71" s="141">
        <f t="shared" si="62"/>
        <v>11.216666666666667</v>
      </c>
      <c r="AK71" s="141">
        <f t="shared" si="62"/>
        <v>11.2</v>
      </c>
      <c r="AL71" s="141">
        <f t="shared" si="62"/>
        <v>15.566666666666666</v>
      </c>
      <c r="AM71" s="141">
        <f t="shared" si="62"/>
        <v>16.75</v>
      </c>
      <c r="AN71" s="141">
        <f t="shared" si="62"/>
        <v>17.75</v>
      </c>
      <c r="AO71" s="141">
        <f t="shared" si="62"/>
        <v>0</v>
      </c>
      <c r="AP71" s="141">
        <f t="shared" si="62"/>
        <v>0</v>
      </c>
      <c r="AQ71" s="141">
        <f t="shared" si="62"/>
        <v>0</v>
      </c>
      <c r="AR71" s="141">
        <f t="shared" si="62"/>
        <v>0</v>
      </c>
      <c r="AS71" s="144">
        <f t="shared" si="62"/>
        <v>0</v>
      </c>
      <c r="AT71" s="231">
        <v>2116</v>
      </c>
      <c r="AU71" s="219">
        <v>909</v>
      </c>
      <c r="AV71" s="219">
        <v>923</v>
      </c>
      <c r="AW71" s="219">
        <v>920</v>
      </c>
      <c r="AX71" s="219">
        <v>907</v>
      </c>
      <c r="AY71" s="219">
        <v>912</v>
      </c>
      <c r="AZ71" s="219">
        <v>920</v>
      </c>
      <c r="BA71" s="219"/>
      <c r="BB71" s="219"/>
      <c r="BC71" s="219"/>
      <c r="BD71" s="219"/>
      <c r="BE71" s="226"/>
      <c r="BF71" s="138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1"/>
      <c r="CD71" s="199"/>
      <c r="CE71" s="153"/>
      <c r="CF71" s="156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62"/>
      <c r="CR71" s="120"/>
      <c r="CS71" s="120"/>
      <c r="CT71" s="120"/>
      <c r="CU71" s="120"/>
      <c r="CV71" s="120"/>
      <c r="CW71" s="120"/>
      <c r="CX71" s="120"/>
      <c r="CY71" s="120"/>
      <c r="CZ71" s="120"/>
      <c r="DA71" s="120"/>
      <c r="DB71" s="120"/>
      <c r="DC71" s="120"/>
      <c r="DD71" s="123"/>
      <c r="DE71" s="138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4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9"/>
      <c r="EC71" s="132"/>
      <c r="EE71" s="114"/>
      <c r="EF71" s="117"/>
    </row>
    <row r="72" spans="1:136" ht="20.25" customHeight="1">
      <c r="A72" s="128"/>
      <c r="B72" s="254"/>
      <c r="C72" s="183"/>
      <c r="D72" s="246"/>
      <c r="E72" s="243"/>
      <c r="F72" s="22" t="s">
        <v>187</v>
      </c>
      <c r="G72" s="23" t="s">
        <v>199</v>
      </c>
      <c r="H72" s="46">
        <v>0.14444444444444443</v>
      </c>
      <c r="I72" s="46">
        <v>0.60011574074074081</v>
      </c>
      <c r="J72" s="46">
        <v>0.46736111111111112</v>
      </c>
      <c r="K72" s="46">
        <v>0.46666666666666662</v>
      </c>
      <c r="L72" s="46">
        <v>0.64861111111111114</v>
      </c>
      <c r="M72" s="46">
        <v>0.69791666666666663</v>
      </c>
      <c r="N72" s="46">
        <v>0.73958333333333337</v>
      </c>
      <c r="O72" s="46"/>
      <c r="P72" s="46"/>
      <c r="Q72" s="46"/>
      <c r="R72" s="46"/>
      <c r="S72" s="47"/>
      <c r="T72" s="48">
        <f t="shared" ref="T72:T113" si="63">H72*24</f>
        <v>3.4666666666666663</v>
      </c>
      <c r="U72" s="49">
        <f t="shared" ref="U72:Z87" si="64">I72*24</f>
        <v>14.402777777777779</v>
      </c>
      <c r="V72" s="49">
        <f t="shared" si="64"/>
        <v>11.216666666666667</v>
      </c>
      <c r="W72" s="49">
        <f t="shared" si="64"/>
        <v>11.2</v>
      </c>
      <c r="X72" s="49">
        <f t="shared" si="64"/>
        <v>15.566666666666666</v>
      </c>
      <c r="Y72" s="49">
        <f t="shared" si="64"/>
        <v>16.75</v>
      </c>
      <c r="Z72" s="49">
        <f t="shared" ref="Z72:AA112" si="65">N72*24</f>
        <v>17.75</v>
      </c>
      <c r="AA72" s="49">
        <f t="shared" si="65"/>
        <v>0</v>
      </c>
      <c r="AB72" s="49">
        <f t="shared" ref="AB72:AB113" si="66">P72*24</f>
        <v>0</v>
      </c>
      <c r="AC72" s="49">
        <f t="shared" ref="AC72:AC113" si="67">Q72*24</f>
        <v>0</v>
      </c>
      <c r="AD72" s="49">
        <f t="shared" ref="AD72:AD113" si="68">R72*24</f>
        <v>0</v>
      </c>
      <c r="AE72" s="50">
        <f t="shared" ref="AE72:AE113" si="69">S72*24</f>
        <v>0</v>
      </c>
      <c r="AF72" s="186"/>
      <c r="AG72" s="322"/>
      <c r="AH72" s="138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4"/>
      <c r="AT72" s="23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4"/>
      <c r="BF72" s="138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1"/>
      <c r="CD72" s="199"/>
      <c r="CE72" s="153"/>
      <c r="CF72" s="156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62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3"/>
      <c r="DE72" s="138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4"/>
      <c r="DQ72" s="106"/>
      <c r="DR72" s="106"/>
      <c r="DS72" s="106"/>
      <c r="DT72" s="106"/>
      <c r="DU72" s="106"/>
      <c r="DV72" s="106"/>
      <c r="DW72" s="106"/>
      <c r="DX72" s="106"/>
      <c r="DY72" s="106"/>
      <c r="DZ72" s="106"/>
      <c r="EA72" s="106"/>
      <c r="EB72" s="109"/>
      <c r="EC72" s="132"/>
      <c r="EE72" s="114"/>
      <c r="EF72" s="117"/>
    </row>
    <row r="73" spans="1:136" ht="20.25" customHeight="1">
      <c r="A73" s="128"/>
      <c r="B73" s="254"/>
      <c r="C73" s="183"/>
      <c r="D73" s="246"/>
      <c r="E73" s="243"/>
      <c r="F73" s="2" t="s">
        <v>188</v>
      </c>
      <c r="G73" s="3" t="s">
        <v>200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7"/>
      <c r="T73" s="48">
        <f t="shared" si="63"/>
        <v>0</v>
      </c>
      <c r="U73" s="49">
        <f t="shared" si="64"/>
        <v>0</v>
      </c>
      <c r="V73" s="49">
        <f t="shared" si="64"/>
        <v>0</v>
      </c>
      <c r="W73" s="49">
        <f t="shared" si="64"/>
        <v>0</v>
      </c>
      <c r="X73" s="49">
        <f t="shared" si="64"/>
        <v>0</v>
      </c>
      <c r="Y73" s="49">
        <f t="shared" si="64"/>
        <v>0</v>
      </c>
      <c r="Z73" s="49">
        <f t="shared" si="65"/>
        <v>0</v>
      </c>
      <c r="AA73" s="49">
        <f t="shared" si="65"/>
        <v>0</v>
      </c>
      <c r="AB73" s="49">
        <f t="shared" si="66"/>
        <v>0</v>
      </c>
      <c r="AC73" s="49">
        <f t="shared" si="67"/>
        <v>0</v>
      </c>
      <c r="AD73" s="49">
        <f t="shared" si="68"/>
        <v>0</v>
      </c>
      <c r="AE73" s="50">
        <f t="shared" si="69"/>
        <v>0</v>
      </c>
      <c r="AF73" s="186"/>
      <c r="AG73" s="322"/>
      <c r="AH73" s="138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4"/>
      <c r="AT73" s="23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4"/>
      <c r="BF73" s="138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1"/>
      <c r="CD73" s="199"/>
      <c r="CE73" s="153"/>
      <c r="CF73" s="156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62"/>
      <c r="CR73" s="120"/>
      <c r="CS73" s="120"/>
      <c r="CT73" s="120"/>
      <c r="CU73" s="120"/>
      <c r="CV73" s="120"/>
      <c r="CW73" s="120"/>
      <c r="CX73" s="120"/>
      <c r="CY73" s="120"/>
      <c r="CZ73" s="120"/>
      <c r="DA73" s="120"/>
      <c r="DB73" s="120"/>
      <c r="DC73" s="120"/>
      <c r="DD73" s="123"/>
      <c r="DE73" s="138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4"/>
      <c r="DQ73" s="106"/>
      <c r="DR73" s="106"/>
      <c r="DS73" s="106"/>
      <c r="DT73" s="106"/>
      <c r="DU73" s="106"/>
      <c r="DV73" s="106"/>
      <c r="DW73" s="106"/>
      <c r="DX73" s="106"/>
      <c r="DY73" s="106"/>
      <c r="DZ73" s="106"/>
      <c r="EA73" s="106"/>
      <c r="EB73" s="109"/>
      <c r="EC73" s="132"/>
      <c r="EE73" s="114"/>
      <c r="EF73" s="117"/>
    </row>
    <row r="74" spans="1:136" ht="20.25" customHeight="1" thickBot="1">
      <c r="A74" s="128"/>
      <c r="B74" s="254"/>
      <c r="C74" s="184"/>
      <c r="D74" s="247"/>
      <c r="E74" s="244"/>
      <c r="F74" s="80" t="s">
        <v>189</v>
      </c>
      <c r="G74" s="81" t="s">
        <v>201</v>
      </c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2"/>
      <c r="T74" s="53">
        <f t="shared" si="63"/>
        <v>0</v>
      </c>
      <c r="U74" s="54">
        <f t="shared" ref="U74:Y113" si="70">I74*24</f>
        <v>0</v>
      </c>
      <c r="V74" s="54">
        <f t="shared" si="64"/>
        <v>0</v>
      </c>
      <c r="W74" s="54">
        <f t="shared" si="64"/>
        <v>0</v>
      </c>
      <c r="X74" s="54">
        <f t="shared" si="64"/>
        <v>0</v>
      </c>
      <c r="Y74" s="54">
        <f t="shared" si="64"/>
        <v>0</v>
      </c>
      <c r="Z74" s="54">
        <f t="shared" si="65"/>
        <v>0</v>
      </c>
      <c r="AA74" s="54">
        <f t="shared" si="65"/>
        <v>0</v>
      </c>
      <c r="AB74" s="54">
        <f t="shared" si="66"/>
        <v>0</v>
      </c>
      <c r="AC74" s="54">
        <f t="shared" si="67"/>
        <v>0</v>
      </c>
      <c r="AD74" s="54">
        <f t="shared" si="68"/>
        <v>0</v>
      </c>
      <c r="AE74" s="55">
        <f t="shared" si="69"/>
        <v>0</v>
      </c>
      <c r="AF74" s="186"/>
      <c r="AG74" s="322"/>
      <c r="AH74" s="139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5"/>
      <c r="AT74" s="233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30"/>
      <c r="BF74" s="139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5"/>
      <c r="BR74" s="195"/>
      <c r="BS74" s="195"/>
      <c r="BT74" s="195"/>
      <c r="BU74" s="195"/>
      <c r="BV74" s="195"/>
      <c r="BW74" s="195"/>
      <c r="BX74" s="195"/>
      <c r="BY74" s="195"/>
      <c r="BZ74" s="195"/>
      <c r="CA74" s="195"/>
      <c r="CB74" s="195"/>
      <c r="CC74" s="197"/>
      <c r="CD74" s="200"/>
      <c r="CE74" s="154"/>
      <c r="CF74" s="156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62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  <c r="DD74" s="123"/>
      <c r="DE74" s="138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4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9"/>
      <c r="EC74" s="132"/>
      <c r="EE74" s="114"/>
      <c r="EF74" s="117"/>
    </row>
    <row r="75" spans="1:136" ht="20.25" customHeight="1">
      <c r="A75" s="128"/>
      <c r="B75" s="254"/>
      <c r="C75" s="182" t="s">
        <v>24</v>
      </c>
      <c r="D75" s="245" t="s">
        <v>126</v>
      </c>
      <c r="E75" s="236" t="s">
        <v>4</v>
      </c>
      <c r="F75" s="8" t="s">
        <v>159</v>
      </c>
      <c r="G75" s="9" t="s">
        <v>168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2"/>
      <c r="T75" s="92">
        <f t="shared" si="63"/>
        <v>0</v>
      </c>
      <c r="U75" s="90">
        <f t="shared" si="70"/>
        <v>0</v>
      </c>
      <c r="V75" s="90">
        <f t="shared" si="64"/>
        <v>0</v>
      </c>
      <c r="W75" s="90">
        <f t="shared" si="64"/>
        <v>0</v>
      </c>
      <c r="X75" s="90">
        <f t="shared" si="64"/>
        <v>0</v>
      </c>
      <c r="Y75" s="90">
        <f t="shared" si="64"/>
        <v>0</v>
      </c>
      <c r="Z75" s="90">
        <f t="shared" si="65"/>
        <v>0</v>
      </c>
      <c r="AA75" s="90">
        <f t="shared" si="65"/>
        <v>0</v>
      </c>
      <c r="AB75" s="90">
        <f t="shared" si="66"/>
        <v>0</v>
      </c>
      <c r="AC75" s="44">
        <f t="shared" si="67"/>
        <v>0</v>
      </c>
      <c r="AD75" s="44">
        <f t="shared" si="68"/>
        <v>0</v>
      </c>
      <c r="AE75" s="45">
        <f t="shared" si="69"/>
        <v>0</v>
      </c>
      <c r="AF75" s="186"/>
      <c r="AG75" s="322"/>
      <c r="AH75" s="137">
        <f>IFERROR((SUM(T75:T78)/COUNTIF(T75:T78,"&gt;0")),0)</f>
        <v>19.533333333333331</v>
      </c>
      <c r="AI75" s="140">
        <f t="shared" ref="AI75:AS75" si="71">IFERROR((SUM(U75:U78)/COUNTIF(U75:U78,"&gt;0")),0)</f>
        <v>19.541666666666668</v>
      </c>
      <c r="AJ75" s="140">
        <f t="shared" si="71"/>
        <v>12.5</v>
      </c>
      <c r="AK75" s="140">
        <f t="shared" si="71"/>
        <v>10.5</v>
      </c>
      <c r="AL75" s="140">
        <f t="shared" si="71"/>
        <v>11.6875</v>
      </c>
      <c r="AM75" s="140">
        <f t="shared" si="71"/>
        <v>21.833333333333332</v>
      </c>
      <c r="AN75" s="140">
        <f t="shared" si="71"/>
        <v>22.194444444444443</v>
      </c>
      <c r="AO75" s="140">
        <f t="shared" si="71"/>
        <v>0</v>
      </c>
      <c r="AP75" s="140">
        <f t="shared" si="71"/>
        <v>0</v>
      </c>
      <c r="AQ75" s="140">
        <f t="shared" si="71"/>
        <v>0</v>
      </c>
      <c r="AR75" s="140">
        <f t="shared" si="71"/>
        <v>0</v>
      </c>
      <c r="AS75" s="143">
        <f t="shared" si="71"/>
        <v>0</v>
      </c>
      <c r="AT75" s="235">
        <v>1020</v>
      </c>
      <c r="AU75" s="221">
        <v>2810</v>
      </c>
      <c r="AV75" s="221">
        <v>2838</v>
      </c>
      <c r="AW75" s="221">
        <v>3082</v>
      </c>
      <c r="AX75" s="221">
        <v>3258</v>
      </c>
      <c r="AY75" s="221">
        <v>3382</v>
      </c>
      <c r="AZ75" s="221">
        <v>3705</v>
      </c>
      <c r="BA75" s="221"/>
      <c r="BB75" s="221"/>
      <c r="BC75" s="221"/>
      <c r="BD75" s="221"/>
      <c r="BE75" s="223"/>
      <c r="BF75" s="137">
        <f>IFERROR((((AH75*AT75)+(AH79*AT79)+(AH83*AT83))/SUM(AT75:AT86)),0)</f>
        <v>19.685766031660851</v>
      </c>
      <c r="BG75" s="140">
        <f t="shared" ref="BG75:BP75" si="72">IFERROR((((AI75*AU75)+(AI79*AU79)+(AI83*AU83))/SUM(AU75:AU86)),0)</f>
        <v>19.939298269334774</v>
      </c>
      <c r="BH75" s="140">
        <f t="shared" si="72"/>
        <v>13.360679640540381</v>
      </c>
      <c r="BI75" s="140">
        <f t="shared" si="72"/>
        <v>11.03348540896013</v>
      </c>
      <c r="BJ75" s="140">
        <f t="shared" si="72"/>
        <v>12.43618789363191</v>
      </c>
      <c r="BK75" s="140">
        <f t="shared" si="72"/>
        <v>20.280755305867665</v>
      </c>
      <c r="BL75" s="140">
        <f t="shared" si="72"/>
        <v>19.191470085470083</v>
      </c>
      <c r="BM75" s="140">
        <f t="shared" si="72"/>
        <v>0</v>
      </c>
      <c r="BN75" s="140">
        <f t="shared" si="72"/>
        <v>0</v>
      </c>
      <c r="BO75" s="140">
        <f t="shared" si="72"/>
        <v>0</v>
      </c>
      <c r="BP75" s="140">
        <f t="shared" si="72"/>
        <v>0</v>
      </c>
      <c r="BQ75" s="143">
        <f>IFERROR((((AS75*BE75)+(AS79*BE79)+(AS83*BE83))/SUM(BE75:BE86)),0)</f>
        <v>0</v>
      </c>
      <c r="BR75" s="212">
        <f>SUM(AT75:AT86)</f>
        <v>3727</v>
      </c>
      <c r="BS75" s="212">
        <f t="shared" ref="BS75:CC75" si="73">SUM(AU75:AU86)</f>
        <v>3698</v>
      </c>
      <c r="BT75" s="212">
        <f t="shared" si="73"/>
        <v>3734</v>
      </c>
      <c r="BU75" s="212">
        <f t="shared" si="73"/>
        <v>4055</v>
      </c>
      <c r="BV75" s="212">
        <f t="shared" si="73"/>
        <v>4287</v>
      </c>
      <c r="BW75" s="212">
        <f t="shared" si="73"/>
        <v>4450</v>
      </c>
      <c r="BX75" s="212">
        <f t="shared" si="73"/>
        <v>4875</v>
      </c>
      <c r="BY75" s="212">
        <f t="shared" si="73"/>
        <v>0</v>
      </c>
      <c r="BZ75" s="212">
        <f t="shared" si="73"/>
        <v>0</v>
      </c>
      <c r="CA75" s="212">
        <f t="shared" si="73"/>
        <v>0</v>
      </c>
      <c r="CB75" s="212">
        <f t="shared" si="73"/>
        <v>0</v>
      </c>
      <c r="CC75" s="190">
        <f t="shared" si="73"/>
        <v>0</v>
      </c>
      <c r="CD75" s="198">
        <f>IFERROR(((BF75*BR75)+(BG75*BS75)+(BH75*BT75)+(BI75*BU75)+(BJ75*BV75)+(BK75*BW75)+(BL75*BX75)+(BM75*BY75)+(BN75*BZ75)+(BO75*CA75)+(BP75*CB75)+(BQ75*CC75))/SUM(BR75:CC86),0)</f>
        <v>16.611935453718477</v>
      </c>
      <c r="CE75" s="152">
        <f>IFERROR(((CD75*(SUM(BR75:CC86)))+(CD87*(SUM(BR87:CC92))))/(SUM(BR75:CC92)),0)</f>
        <v>17.773163893437427</v>
      </c>
      <c r="CF75" s="156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62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  <c r="DD75" s="123"/>
      <c r="DE75" s="138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4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9"/>
      <c r="EC75" s="132"/>
      <c r="EE75" s="114"/>
      <c r="EF75" s="117"/>
    </row>
    <row r="76" spans="1:136" ht="20.25" customHeight="1">
      <c r="A76" s="128"/>
      <c r="B76" s="254"/>
      <c r="C76" s="183"/>
      <c r="D76" s="246"/>
      <c r="E76" s="237"/>
      <c r="F76" s="22" t="s">
        <v>156</v>
      </c>
      <c r="G76" s="23" t="s">
        <v>169</v>
      </c>
      <c r="H76" s="46">
        <v>0.81388888888888888</v>
      </c>
      <c r="I76" s="46">
        <v>0.81423611111111116</v>
      </c>
      <c r="J76" s="46">
        <v>0.52083333333333337</v>
      </c>
      <c r="K76" s="46">
        <v>0.4375</v>
      </c>
      <c r="L76" s="46">
        <v>0.48697916666666669</v>
      </c>
      <c r="M76" s="46">
        <v>0.90972222222222221</v>
      </c>
      <c r="N76" s="46"/>
      <c r="O76" s="46"/>
      <c r="P76" s="46"/>
      <c r="Q76" s="46"/>
      <c r="R76" s="46"/>
      <c r="S76" s="47"/>
      <c r="T76" s="48">
        <f t="shared" si="63"/>
        <v>19.533333333333331</v>
      </c>
      <c r="U76" s="49">
        <f t="shared" si="70"/>
        <v>19.541666666666668</v>
      </c>
      <c r="V76" s="49">
        <f t="shared" si="64"/>
        <v>12.5</v>
      </c>
      <c r="W76" s="49">
        <f t="shared" si="64"/>
        <v>10.5</v>
      </c>
      <c r="X76" s="49">
        <f t="shared" si="64"/>
        <v>11.6875</v>
      </c>
      <c r="Y76" s="49">
        <f t="shared" si="64"/>
        <v>21.833333333333332</v>
      </c>
      <c r="Z76" s="49">
        <f t="shared" si="65"/>
        <v>0</v>
      </c>
      <c r="AA76" s="49">
        <f t="shared" si="65"/>
        <v>0</v>
      </c>
      <c r="AB76" s="49">
        <f t="shared" si="66"/>
        <v>0</v>
      </c>
      <c r="AC76" s="49">
        <f t="shared" si="67"/>
        <v>0</v>
      </c>
      <c r="AD76" s="49">
        <f t="shared" si="68"/>
        <v>0</v>
      </c>
      <c r="AE76" s="50">
        <f t="shared" si="69"/>
        <v>0</v>
      </c>
      <c r="AF76" s="186"/>
      <c r="AG76" s="322"/>
      <c r="AH76" s="138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4"/>
      <c r="AT76" s="23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4"/>
      <c r="BF76" s="138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4"/>
      <c r="BR76" s="194"/>
      <c r="BS76" s="194"/>
      <c r="BT76" s="194"/>
      <c r="BU76" s="194"/>
      <c r="BV76" s="194"/>
      <c r="BW76" s="194"/>
      <c r="BX76" s="194"/>
      <c r="BY76" s="194"/>
      <c r="BZ76" s="194"/>
      <c r="CA76" s="194"/>
      <c r="CB76" s="194"/>
      <c r="CC76" s="191"/>
      <c r="CD76" s="199"/>
      <c r="CE76" s="153"/>
      <c r="CF76" s="156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62"/>
      <c r="CR76" s="120"/>
      <c r="CS76" s="120"/>
      <c r="CT76" s="120"/>
      <c r="CU76" s="120"/>
      <c r="CV76" s="120"/>
      <c r="CW76" s="120"/>
      <c r="CX76" s="120"/>
      <c r="CY76" s="120"/>
      <c r="CZ76" s="120"/>
      <c r="DA76" s="120"/>
      <c r="DB76" s="120"/>
      <c r="DC76" s="120"/>
      <c r="DD76" s="123"/>
      <c r="DE76" s="138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4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9"/>
      <c r="EC76" s="132"/>
      <c r="EE76" s="114"/>
      <c r="EF76" s="117"/>
    </row>
    <row r="77" spans="1:136" ht="20.25" customHeight="1">
      <c r="A77" s="128"/>
      <c r="B77" s="254"/>
      <c r="C77" s="183"/>
      <c r="D77" s="246"/>
      <c r="E77" s="237"/>
      <c r="F77" s="76" t="s">
        <v>157</v>
      </c>
      <c r="G77" s="77" t="s">
        <v>170</v>
      </c>
      <c r="H77" s="46"/>
      <c r="I77" s="46"/>
      <c r="J77" s="46"/>
      <c r="K77" s="46"/>
      <c r="L77" s="46"/>
      <c r="M77" s="46"/>
      <c r="N77" s="46">
        <v>0.92476851851851849</v>
      </c>
      <c r="O77" s="46"/>
      <c r="P77" s="46"/>
      <c r="Q77" s="46"/>
      <c r="R77" s="46"/>
      <c r="S77" s="47"/>
      <c r="T77" s="48">
        <f t="shared" si="63"/>
        <v>0</v>
      </c>
      <c r="U77" s="49">
        <f t="shared" si="70"/>
        <v>0</v>
      </c>
      <c r="V77" s="49">
        <f t="shared" si="64"/>
        <v>0</v>
      </c>
      <c r="W77" s="49">
        <f>K77*24</f>
        <v>0</v>
      </c>
      <c r="X77" s="49">
        <f t="shared" si="64"/>
        <v>0</v>
      </c>
      <c r="Y77" s="49">
        <f t="shared" si="64"/>
        <v>0</v>
      </c>
      <c r="Z77" s="49">
        <f t="shared" si="65"/>
        <v>22.194444444444443</v>
      </c>
      <c r="AA77" s="49">
        <f t="shared" si="65"/>
        <v>0</v>
      </c>
      <c r="AB77" s="49">
        <f t="shared" si="66"/>
        <v>0</v>
      </c>
      <c r="AC77" s="49">
        <f t="shared" si="67"/>
        <v>0</v>
      </c>
      <c r="AD77" s="49">
        <f t="shared" si="68"/>
        <v>0</v>
      </c>
      <c r="AE77" s="50">
        <f t="shared" si="69"/>
        <v>0</v>
      </c>
      <c r="AF77" s="186"/>
      <c r="AG77" s="322"/>
      <c r="AH77" s="138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4"/>
      <c r="AT77" s="23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4"/>
      <c r="BF77" s="138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1"/>
      <c r="CD77" s="199"/>
      <c r="CE77" s="153"/>
      <c r="CF77" s="156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62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  <c r="DD77" s="123"/>
      <c r="DE77" s="138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4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9"/>
      <c r="EC77" s="132"/>
      <c r="EE77" s="114"/>
      <c r="EF77" s="117"/>
    </row>
    <row r="78" spans="1:136" ht="20.25" customHeight="1">
      <c r="A78" s="128"/>
      <c r="B78" s="254"/>
      <c r="C78" s="183"/>
      <c r="D78" s="246"/>
      <c r="E78" s="238"/>
      <c r="F78" s="2" t="s">
        <v>158</v>
      </c>
      <c r="G78" s="3" t="s">
        <v>171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7"/>
      <c r="T78" s="48">
        <f t="shared" si="63"/>
        <v>0</v>
      </c>
      <c r="U78" s="49">
        <f t="shared" si="70"/>
        <v>0</v>
      </c>
      <c r="V78" s="49">
        <f t="shared" si="64"/>
        <v>0</v>
      </c>
      <c r="W78" s="49">
        <f>K78*24</f>
        <v>0</v>
      </c>
      <c r="X78" s="49">
        <f t="shared" si="64"/>
        <v>0</v>
      </c>
      <c r="Y78" s="49">
        <f t="shared" si="64"/>
        <v>0</v>
      </c>
      <c r="Z78" s="49">
        <f t="shared" si="65"/>
        <v>0</v>
      </c>
      <c r="AA78" s="49">
        <f t="shared" si="65"/>
        <v>0</v>
      </c>
      <c r="AB78" s="49">
        <f t="shared" si="66"/>
        <v>0</v>
      </c>
      <c r="AC78" s="49">
        <f t="shared" si="67"/>
        <v>0</v>
      </c>
      <c r="AD78" s="49">
        <f t="shared" si="68"/>
        <v>0</v>
      </c>
      <c r="AE78" s="50">
        <f t="shared" si="69"/>
        <v>0</v>
      </c>
      <c r="AF78" s="186"/>
      <c r="AG78" s="322"/>
      <c r="AH78" s="138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4"/>
      <c r="AT78" s="234"/>
      <c r="AU78" s="220"/>
      <c r="AV78" s="220"/>
      <c r="AW78" s="220"/>
      <c r="AX78" s="220"/>
      <c r="AY78" s="220"/>
      <c r="AZ78" s="220"/>
      <c r="BA78" s="220"/>
      <c r="BB78" s="220"/>
      <c r="BC78" s="220"/>
      <c r="BD78" s="220"/>
      <c r="BE78" s="225"/>
      <c r="BF78" s="138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1"/>
      <c r="CD78" s="199"/>
      <c r="CE78" s="153"/>
      <c r="CF78" s="156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62"/>
      <c r="CR78" s="120"/>
      <c r="CS78" s="120"/>
      <c r="CT78" s="120"/>
      <c r="CU78" s="120"/>
      <c r="CV78" s="120"/>
      <c r="CW78" s="120"/>
      <c r="CX78" s="120"/>
      <c r="CY78" s="120"/>
      <c r="CZ78" s="120"/>
      <c r="DA78" s="120"/>
      <c r="DB78" s="120"/>
      <c r="DC78" s="120"/>
      <c r="DD78" s="123"/>
      <c r="DE78" s="138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4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9"/>
      <c r="EC78" s="132"/>
      <c r="EE78" s="114"/>
      <c r="EF78" s="117"/>
    </row>
    <row r="79" spans="1:136" ht="20.25" customHeight="1">
      <c r="A79" s="128"/>
      <c r="B79" s="254"/>
      <c r="C79" s="183"/>
      <c r="D79" s="246"/>
      <c r="E79" s="239" t="s">
        <v>5</v>
      </c>
      <c r="F79" s="2" t="s">
        <v>160</v>
      </c>
      <c r="G79" s="3" t="s">
        <v>172</v>
      </c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7"/>
      <c r="T79" s="48">
        <f t="shared" si="63"/>
        <v>0</v>
      </c>
      <c r="U79" s="49">
        <f t="shared" si="70"/>
        <v>0</v>
      </c>
      <c r="V79" s="49">
        <f t="shared" si="64"/>
        <v>0</v>
      </c>
      <c r="W79" s="49">
        <f t="shared" si="64"/>
        <v>0</v>
      </c>
      <c r="X79" s="49">
        <f t="shared" si="64"/>
        <v>0</v>
      </c>
      <c r="Y79" s="49">
        <f t="shared" si="64"/>
        <v>0</v>
      </c>
      <c r="Z79" s="49">
        <f t="shared" si="65"/>
        <v>0</v>
      </c>
      <c r="AA79" s="49">
        <f t="shared" si="65"/>
        <v>0</v>
      </c>
      <c r="AB79" s="49">
        <f t="shared" si="66"/>
        <v>0</v>
      </c>
      <c r="AC79" s="49">
        <f t="shared" si="67"/>
        <v>0</v>
      </c>
      <c r="AD79" s="49">
        <f t="shared" si="68"/>
        <v>0</v>
      </c>
      <c r="AE79" s="50">
        <f t="shared" si="69"/>
        <v>0</v>
      </c>
      <c r="AF79" s="186"/>
      <c r="AG79" s="322"/>
      <c r="AH79" s="138">
        <f>IFERROR((SUM(T79:T82)/COUNTIF(T79:T82,"&gt;0")),0)</f>
        <v>9.2833333333333332</v>
      </c>
      <c r="AI79" s="141">
        <f t="shared" ref="AI79:AS79" si="74">IFERROR((SUM(U79:U82)/COUNTIF(U79:U82,"&gt;0")),0)</f>
        <v>20.797222222222221</v>
      </c>
      <c r="AJ79" s="141">
        <f t="shared" si="74"/>
        <v>15.388888888888889</v>
      </c>
      <c r="AK79" s="141">
        <f t="shared" si="74"/>
        <v>11.916666666666666</v>
      </c>
      <c r="AL79" s="141">
        <f t="shared" si="74"/>
        <v>15.020833333333334</v>
      </c>
      <c r="AM79" s="141">
        <f t="shared" si="74"/>
        <v>15.277777777777779</v>
      </c>
      <c r="AN79" s="141">
        <f t="shared" si="74"/>
        <v>8.5277777777777786</v>
      </c>
      <c r="AO79" s="141">
        <f t="shared" si="74"/>
        <v>0</v>
      </c>
      <c r="AP79" s="141">
        <f t="shared" si="74"/>
        <v>0</v>
      </c>
      <c r="AQ79" s="141">
        <f t="shared" si="74"/>
        <v>0</v>
      </c>
      <c r="AR79" s="141">
        <f t="shared" si="74"/>
        <v>0</v>
      </c>
      <c r="AS79" s="144">
        <f t="shared" si="74"/>
        <v>0</v>
      </c>
      <c r="AT79" s="231">
        <v>783</v>
      </c>
      <c r="AU79" s="219">
        <v>777</v>
      </c>
      <c r="AV79" s="219">
        <v>784</v>
      </c>
      <c r="AW79" s="219">
        <v>851</v>
      </c>
      <c r="AX79" s="219">
        <v>900</v>
      </c>
      <c r="AY79" s="219">
        <v>935</v>
      </c>
      <c r="AZ79" s="219">
        <v>1024</v>
      </c>
      <c r="BA79" s="219"/>
      <c r="BB79" s="219"/>
      <c r="BC79" s="219"/>
      <c r="BD79" s="219"/>
      <c r="BE79" s="226"/>
      <c r="BF79" s="138"/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44"/>
      <c r="BR79" s="194"/>
      <c r="BS79" s="194"/>
      <c r="BT79" s="194"/>
      <c r="BU79" s="194"/>
      <c r="BV79" s="194"/>
      <c r="BW79" s="194"/>
      <c r="BX79" s="194"/>
      <c r="BY79" s="194"/>
      <c r="BZ79" s="194"/>
      <c r="CA79" s="194"/>
      <c r="CB79" s="194"/>
      <c r="CC79" s="191"/>
      <c r="CD79" s="199"/>
      <c r="CE79" s="153"/>
      <c r="CF79" s="156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62"/>
      <c r="CR79" s="120"/>
      <c r="CS79" s="120"/>
      <c r="CT79" s="120"/>
      <c r="CU79" s="120"/>
      <c r="CV79" s="120"/>
      <c r="CW79" s="120"/>
      <c r="CX79" s="120"/>
      <c r="CY79" s="120"/>
      <c r="CZ79" s="120"/>
      <c r="DA79" s="120"/>
      <c r="DB79" s="120"/>
      <c r="DC79" s="120"/>
      <c r="DD79" s="123"/>
      <c r="DE79" s="138"/>
      <c r="DF79" s="141"/>
      <c r="DG79" s="141"/>
      <c r="DH79" s="141"/>
      <c r="DI79" s="141"/>
      <c r="DJ79" s="141"/>
      <c r="DK79" s="141"/>
      <c r="DL79" s="141"/>
      <c r="DM79" s="141"/>
      <c r="DN79" s="141"/>
      <c r="DO79" s="141"/>
      <c r="DP79" s="144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9"/>
      <c r="EC79" s="132"/>
      <c r="EE79" s="114"/>
      <c r="EF79" s="117"/>
    </row>
    <row r="80" spans="1:136" ht="20.25" customHeight="1">
      <c r="A80" s="128"/>
      <c r="B80" s="254"/>
      <c r="C80" s="183"/>
      <c r="D80" s="246"/>
      <c r="E80" s="240"/>
      <c r="F80" s="101" t="s">
        <v>161</v>
      </c>
      <c r="G80" s="102" t="s">
        <v>173</v>
      </c>
      <c r="H80" s="46">
        <v>0.38680555555555557</v>
      </c>
      <c r="I80" s="46">
        <v>0.86655092592592586</v>
      </c>
      <c r="J80" s="46">
        <v>0.64120370370370372</v>
      </c>
      <c r="K80" s="46">
        <v>0.49652777777777773</v>
      </c>
      <c r="L80" s="46">
        <v>0.62586805555555558</v>
      </c>
      <c r="M80" s="46">
        <v>0.63657407407407407</v>
      </c>
      <c r="N80" s="46"/>
      <c r="O80" s="46"/>
      <c r="P80" s="46"/>
      <c r="Q80" s="46"/>
      <c r="R80" s="46"/>
      <c r="S80" s="47"/>
      <c r="T80" s="48">
        <f t="shared" si="63"/>
        <v>9.2833333333333332</v>
      </c>
      <c r="U80" s="49">
        <f t="shared" si="70"/>
        <v>20.797222222222221</v>
      </c>
      <c r="V80" s="49">
        <f t="shared" si="64"/>
        <v>15.388888888888889</v>
      </c>
      <c r="W80" s="49">
        <f t="shared" si="64"/>
        <v>11.916666666666666</v>
      </c>
      <c r="X80" s="49">
        <f t="shared" si="64"/>
        <v>15.020833333333334</v>
      </c>
      <c r="Y80" s="49">
        <f t="shared" si="64"/>
        <v>15.277777777777779</v>
      </c>
      <c r="Z80" s="49">
        <f t="shared" si="64"/>
        <v>0</v>
      </c>
      <c r="AA80" s="49">
        <f t="shared" si="65"/>
        <v>0</v>
      </c>
      <c r="AB80" s="49">
        <f t="shared" si="66"/>
        <v>0</v>
      </c>
      <c r="AC80" s="49">
        <f t="shared" si="67"/>
        <v>0</v>
      </c>
      <c r="AD80" s="49">
        <f t="shared" si="68"/>
        <v>0</v>
      </c>
      <c r="AE80" s="50">
        <f t="shared" si="69"/>
        <v>0</v>
      </c>
      <c r="AF80" s="186"/>
      <c r="AG80" s="322"/>
      <c r="AH80" s="138"/>
      <c r="AI80" s="141"/>
      <c r="AJ80" s="141"/>
      <c r="AK80" s="141"/>
      <c r="AL80" s="141"/>
      <c r="AM80" s="141"/>
      <c r="AN80" s="141"/>
      <c r="AO80" s="141"/>
      <c r="AP80" s="141"/>
      <c r="AQ80" s="141"/>
      <c r="AR80" s="141"/>
      <c r="AS80" s="144"/>
      <c r="AT80" s="23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4"/>
      <c r="BF80" s="138"/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4"/>
      <c r="BR80" s="194"/>
      <c r="BS80" s="194"/>
      <c r="BT80" s="194"/>
      <c r="BU80" s="194"/>
      <c r="BV80" s="194"/>
      <c r="BW80" s="194"/>
      <c r="BX80" s="194"/>
      <c r="BY80" s="194"/>
      <c r="BZ80" s="194"/>
      <c r="CA80" s="194"/>
      <c r="CB80" s="194"/>
      <c r="CC80" s="191"/>
      <c r="CD80" s="199"/>
      <c r="CE80" s="153"/>
      <c r="CF80" s="156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62"/>
      <c r="CR80" s="120"/>
      <c r="CS80" s="120"/>
      <c r="CT80" s="120"/>
      <c r="CU80" s="120"/>
      <c r="CV80" s="120"/>
      <c r="CW80" s="120"/>
      <c r="CX80" s="120"/>
      <c r="CY80" s="120"/>
      <c r="CZ80" s="120"/>
      <c r="DA80" s="120"/>
      <c r="DB80" s="120"/>
      <c r="DC80" s="120"/>
      <c r="DD80" s="123"/>
      <c r="DE80" s="138"/>
      <c r="DF80" s="141"/>
      <c r="DG80" s="141"/>
      <c r="DH80" s="141"/>
      <c r="DI80" s="141"/>
      <c r="DJ80" s="141"/>
      <c r="DK80" s="141"/>
      <c r="DL80" s="141"/>
      <c r="DM80" s="141"/>
      <c r="DN80" s="141"/>
      <c r="DO80" s="141"/>
      <c r="DP80" s="144"/>
      <c r="DQ80" s="106"/>
      <c r="DR80" s="106"/>
      <c r="DS80" s="106"/>
      <c r="DT80" s="106"/>
      <c r="DU80" s="106"/>
      <c r="DV80" s="106"/>
      <c r="DW80" s="106"/>
      <c r="DX80" s="106"/>
      <c r="DY80" s="106"/>
      <c r="DZ80" s="106"/>
      <c r="EA80" s="106"/>
      <c r="EB80" s="109"/>
      <c r="EC80" s="132"/>
      <c r="EE80" s="114"/>
      <c r="EF80" s="117"/>
    </row>
    <row r="81" spans="1:136" ht="20.25" customHeight="1">
      <c r="A81" s="128"/>
      <c r="B81" s="254"/>
      <c r="C81" s="183"/>
      <c r="D81" s="246"/>
      <c r="E81" s="240"/>
      <c r="F81" s="2" t="s">
        <v>162</v>
      </c>
      <c r="G81" s="3" t="s">
        <v>174</v>
      </c>
      <c r="H81" s="46"/>
      <c r="I81" s="46"/>
      <c r="J81" s="46"/>
      <c r="K81" s="46"/>
      <c r="L81" s="46"/>
      <c r="M81" s="46"/>
      <c r="N81" s="46">
        <v>0.35532407407407413</v>
      </c>
      <c r="O81" s="46"/>
      <c r="P81" s="46"/>
      <c r="Q81" s="46"/>
      <c r="R81" s="46"/>
      <c r="S81" s="47"/>
      <c r="T81" s="48">
        <f t="shared" si="63"/>
        <v>0</v>
      </c>
      <c r="U81" s="49">
        <f t="shared" si="70"/>
        <v>0</v>
      </c>
      <c r="V81" s="49">
        <f t="shared" si="64"/>
        <v>0</v>
      </c>
      <c r="W81" s="49">
        <f t="shared" si="64"/>
        <v>0</v>
      </c>
      <c r="X81" s="49">
        <f t="shared" si="64"/>
        <v>0</v>
      </c>
      <c r="Y81" s="49">
        <f t="shared" si="64"/>
        <v>0</v>
      </c>
      <c r="Z81" s="49">
        <f t="shared" si="64"/>
        <v>8.5277777777777786</v>
      </c>
      <c r="AA81" s="49">
        <f t="shared" si="65"/>
        <v>0</v>
      </c>
      <c r="AB81" s="49">
        <f t="shared" si="66"/>
        <v>0</v>
      </c>
      <c r="AC81" s="49">
        <f t="shared" si="67"/>
        <v>0</v>
      </c>
      <c r="AD81" s="49">
        <f t="shared" si="68"/>
        <v>0</v>
      </c>
      <c r="AE81" s="50">
        <f t="shared" si="69"/>
        <v>0</v>
      </c>
      <c r="AF81" s="186"/>
      <c r="AG81" s="322"/>
      <c r="AH81" s="138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4"/>
      <c r="AT81" s="232"/>
      <c r="AU81" s="222"/>
      <c r="AV81" s="222"/>
      <c r="AW81" s="222"/>
      <c r="AX81" s="222"/>
      <c r="AY81" s="222"/>
      <c r="AZ81" s="222"/>
      <c r="BA81" s="222"/>
      <c r="BB81" s="222"/>
      <c r="BC81" s="222"/>
      <c r="BD81" s="222"/>
      <c r="BE81" s="224"/>
      <c r="BF81" s="138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4"/>
      <c r="BR81" s="194"/>
      <c r="BS81" s="194"/>
      <c r="BT81" s="194"/>
      <c r="BU81" s="194"/>
      <c r="BV81" s="194"/>
      <c r="BW81" s="194"/>
      <c r="BX81" s="194"/>
      <c r="BY81" s="194"/>
      <c r="BZ81" s="194"/>
      <c r="CA81" s="194"/>
      <c r="CB81" s="194"/>
      <c r="CC81" s="191"/>
      <c r="CD81" s="199"/>
      <c r="CE81" s="153"/>
      <c r="CF81" s="156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62"/>
      <c r="CR81" s="120"/>
      <c r="CS81" s="120"/>
      <c r="CT81" s="120"/>
      <c r="CU81" s="120"/>
      <c r="CV81" s="120"/>
      <c r="CW81" s="120"/>
      <c r="CX81" s="120"/>
      <c r="CY81" s="120"/>
      <c r="CZ81" s="120"/>
      <c r="DA81" s="120"/>
      <c r="DB81" s="120"/>
      <c r="DC81" s="120"/>
      <c r="DD81" s="123"/>
      <c r="DE81" s="138"/>
      <c r="DF81" s="141"/>
      <c r="DG81" s="141"/>
      <c r="DH81" s="141"/>
      <c r="DI81" s="141"/>
      <c r="DJ81" s="141"/>
      <c r="DK81" s="141"/>
      <c r="DL81" s="141"/>
      <c r="DM81" s="141"/>
      <c r="DN81" s="141"/>
      <c r="DO81" s="141"/>
      <c r="DP81" s="144"/>
      <c r="DQ81" s="106"/>
      <c r="DR81" s="106"/>
      <c r="DS81" s="106"/>
      <c r="DT81" s="106"/>
      <c r="DU81" s="106"/>
      <c r="DV81" s="106"/>
      <c r="DW81" s="106"/>
      <c r="DX81" s="106"/>
      <c r="DY81" s="106"/>
      <c r="DZ81" s="106"/>
      <c r="EA81" s="106"/>
      <c r="EB81" s="109"/>
      <c r="EC81" s="132"/>
      <c r="EE81" s="114"/>
      <c r="EF81" s="117"/>
    </row>
    <row r="82" spans="1:136" ht="20.25" customHeight="1">
      <c r="A82" s="128"/>
      <c r="B82" s="254"/>
      <c r="C82" s="183"/>
      <c r="D82" s="246"/>
      <c r="E82" s="241"/>
      <c r="F82" s="2" t="s">
        <v>163</v>
      </c>
      <c r="G82" s="3" t="s">
        <v>175</v>
      </c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7"/>
      <c r="T82" s="48">
        <f t="shared" si="63"/>
        <v>0</v>
      </c>
      <c r="U82" s="49">
        <f t="shared" si="70"/>
        <v>0</v>
      </c>
      <c r="V82" s="49">
        <f t="shared" si="64"/>
        <v>0</v>
      </c>
      <c r="W82" s="49">
        <f t="shared" si="64"/>
        <v>0</v>
      </c>
      <c r="X82" s="49">
        <f t="shared" si="64"/>
        <v>0</v>
      </c>
      <c r="Y82" s="49">
        <f t="shared" si="64"/>
        <v>0</v>
      </c>
      <c r="Z82" s="49">
        <f t="shared" si="65"/>
        <v>0</v>
      </c>
      <c r="AA82" s="49">
        <f t="shared" si="65"/>
        <v>0</v>
      </c>
      <c r="AB82" s="49">
        <f t="shared" si="66"/>
        <v>0</v>
      </c>
      <c r="AC82" s="49">
        <f t="shared" si="67"/>
        <v>0</v>
      </c>
      <c r="AD82" s="49">
        <f t="shared" si="68"/>
        <v>0</v>
      </c>
      <c r="AE82" s="50">
        <f t="shared" si="69"/>
        <v>0</v>
      </c>
      <c r="AF82" s="186"/>
      <c r="AG82" s="322"/>
      <c r="AH82" s="138"/>
      <c r="AI82" s="141"/>
      <c r="AJ82" s="141"/>
      <c r="AK82" s="141"/>
      <c r="AL82" s="141"/>
      <c r="AM82" s="141"/>
      <c r="AN82" s="141"/>
      <c r="AO82" s="141"/>
      <c r="AP82" s="141"/>
      <c r="AQ82" s="141"/>
      <c r="AR82" s="141"/>
      <c r="AS82" s="144"/>
      <c r="AT82" s="234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225"/>
      <c r="BF82" s="138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4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1"/>
      <c r="CD82" s="199"/>
      <c r="CE82" s="153"/>
      <c r="CF82" s="156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62"/>
      <c r="CR82" s="120"/>
      <c r="CS82" s="120"/>
      <c r="CT82" s="120"/>
      <c r="CU82" s="120"/>
      <c r="CV82" s="120"/>
      <c r="CW82" s="120"/>
      <c r="CX82" s="120"/>
      <c r="CY82" s="120"/>
      <c r="CZ82" s="120"/>
      <c r="DA82" s="120"/>
      <c r="DB82" s="120"/>
      <c r="DC82" s="120"/>
      <c r="DD82" s="123"/>
      <c r="DE82" s="138"/>
      <c r="DF82" s="141"/>
      <c r="DG82" s="141"/>
      <c r="DH82" s="141"/>
      <c r="DI82" s="141"/>
      <c r="DJ82" s="141"/>
      <c r="DK82" s="141"/>
      <c r="DL82" s="141"/>
      <c r="DM82" s="141"/>
      <c r="DN82" s="141"/>
      <c r="DO82" s="141"/>
      <c r="DP82" s="144"/>
      <c r="DQ82" s="106"/>
      <c r="DR82" s="106"/>
      <c r="DS82" s="106"/>
      <c r="DT82" s="106"/>
      <c r="DU82" s="106"/>
      <c r="DV82" s="106"/>
      <c r="DW82" s="106"/>
      <c r="DX82" s="106"/>
      <c r="DY82" s="106"/>
      <c r="DZ82" s="106"/>
      <c r="EA82" s="106"/>
      <c r="EB82" s="109"/>
      <c r="EC82" s="132"/>
      <c r="EE82" s="114"/>
      <c r="EF82" s="117"/>
    </row>
    <row r="83" spans="1:136" ht="20.25" customHeight="1">
      <c r="A83" s="128"/>
      <c r="B83" s="254"/>
      <c r="C83" s="183"/>
      <c r="D83" s="246"/>
      <c r="E83" s="242" t="s">
        <v>6</v>
      </c>
      <c r="F83" s="76" t="s">
        <v>164</v>
      </c>
      <c r="G83" s="77" t="s">
        <v>176</v>
      </c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7"/>
      <c r="T83" s="48">
        <f t="shared" si="63"/>
        <v>0</v>
      </c>
      <c r="U83" s="91">
        <f t="shared" si="70"/>
        <v>0</v>
      </c>
      <c r="V83" s="49">
        <f t="shared" si="64"/>
        <v>0</v>
      </c>
      <c r="W83" s="49">
        <f t="shared" si="64"/>
        <v>0</v>
      </c>
      <c r="X83" s="49">
        <f t="shared" si="64"/>
        <v>0</v>
      </c>
      <c r="Y83" s="49">
        <f t="shared" si="64"/>
        <v>0</v>
      </c>
      <c r="Z83" s="49">
        <f t="shared" si="65"/>
        <v>0</v>
      </c>
      <c r="AA83" s="49">
        <f t="shared" si="65"/>
        <v>0</v>
      </c>
      <c r="AB83" s="49">
        <f t="shared" si="66"/>
        <v>0</v>
      </c>
      <c r="AC83" s="49">
        <f t="shared" si="67"/>
        <v>0</v>
      </c>
      <c r="AD83" s="49">
        <f t="shared" si="68"/>
        <v>0</v>
      </c>
      <c r="AE83" s="50">
        <f t="shared" si="69"/>
        <v>0</v>
      </c>
      <c r="AF83" s="186"/>
      <c r="AG83" s="322"/>
      <c r="AH83" s="138">
        <f>IFERROR((SUM(T83:T86)/COUNTIF(T83:T86,"&gt;0")),0)</f>
        <v>24</v>
      </c>
      <c r="AI83" s="141">
        <f t="shared" ref="AI83:AS83" si="75">IFERROR((SUM(U83:U86)/COUNTIF(U83:U86,"&gt;0")),0)</f>
        <v>24</v>
      </c>
      <c r="AJ83" s="141">
        <f t="shared" si="75"/>
        <v>20.972222222222221</v>
      </c>
      <c r="AK83" s="141">
        <f t="shared" si="75"/>
        <v>18.350000000000001</v>
      </c>
      <c r="AL83" s="141">
        <f t="shared" si="75"/>
        <v>13.3125</v>
      </c>
      <c r="AM83" s="141">
        <f t="shared" si="75"/>
        <v>15.972222222222223</v>
      </c>
      <c r="AN83" s="141">
        <f t="shared" si="75"/>
        <v>17.777777777777779</v>
      </c>
      <c r="AO83" s="141">
        <f t="shared" si="75"/>
        <v>0</v>
      </c>
      <c r="AP83" s="141">
        <f t="shared" si="75"/>
        <v>0</v>
      </c>
      <c r="AQ83" s="141">
        <f t="shared" si="75"/>
        <v>0</v>
      </c>
      <c r="AR83" s="141">
        <f t="shared" si="75"/>
        <v>0</v>
      </c>
      <c r="AS83" s="144">
        <f t="shared" si="75"/>
        <v>0</v>
      </c>
      <c r="AT83" s="231">
        <v>1924</v>
      </c>
      <c r="AU83" s="219">
        <v>111</v>
      </c>
      <c r="AV83" s="219">
        <v>112</v>
      </c>
      <c r="AW83" s="219">
        <v>122</v>
      </c>
      <c r="AX83" s="219">
        <v>129</v>
      </c>
      <c r="AY83" s="219">
        <v>133</v>
      </c>
      <c r="AZ83" s="219">
        <v>146</v>
      </c>
      <c r="BA83" s="219"/>
      <c r="BB83" s="219"/>
      <c r="BC83" s="219"/>
      <c r="BD83" s="219"/>
      <c r="BE83" s="226"/>
      <c r="BF83" s="138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194"/>
      <c r="CC83" s="191"/>
      <c r="CD83" s="199"/>
      <c r="CE83" s="153"/>
      <c r="CF83" s="156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62"/>
      <c r="CR83" s="120"/>
      <c r="CS83" s="120"/>
      <c r="CT83" s="120"/>
      <c r="CU83" s="120"/>
      <c r="CV83" s="120"/>
      <c r="CW83" s="120"/>
      <c r="CX83" s="120"/>
      <c r="CY83" s="120"/>
      <c r="CZ83" s="120"/>
      <c r="DA83" s="120"/>
      <c r="DB83" s="120"/>
      <c r="DC83" s="120"/>
      <c r="DD83" s="123"/>
      <c r="DE83" s="138"/>
      <c r="DF83" s="141"/>
      <c r="DG83" s="141"/>
      <c r="DH83" s="141"/>
      <c r="DI83" s="141"/>
      <c r="DJ83" s="141"/>
      <c r="DK83" s="141"/>
      <c r="DL83" s="141"/>
      <c r="DM83" s="141"/>
      <c r="DN83" s="141"/>
      <c r="DO83" s="141"/>
      <c r="DP83" s="144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9"/>
      <c r="EC83" s="132"/>
      <c r="EE83" s="114"/>
      <c r="EF83" s="117"/>
    </row>
    <row r="84" spans="1:136" ht="20.25" customHeight="1">
      <c r="A84" s="128"/>
      <c r="B84" s="254"/>
      <c r="C84" s="183"/>
      <c r="D84" s="246"/>
      <c r="E84" s="243"/>
      <c r="F84" s="2" t="s">
        <v>165</v>
      </c>
      <c r="G84" s="3" t="s">
        <v>177</v>
      </c>
      <c r="H84" s="46">
        <v>1</v>
      </c>
      <c r="I84" s="46">
        <v>1</v>
      </c>
      <c r="J84" s="46">
        <v>0.87384259259259256</v>
      </c>
      <c r="K84" s="46">
        <v>0.76458333333333339</v>
      </c>
      <c r="L84" s="46">
        <v>0.5546875</v>
      </c>
      <c r="M84" s="46">
        <v>0.6655092592592593</v>
      </c>
      <c r="N84" s="46"/>
      <c r="O84" s="46"/>
      <c r="P84" s="46"/>
      <c r="Q84" s="46"/>
      <c r="R84" s="46"/>
      <c r="S84" s="47"/>
      <c r="T84" s="48">
        <f t="shared" si="63"/>
        <v>24</v>
      </c>
      <c r="U84" s="49">
        <f t="shared" si="70"/>
        <v>24</v>
      </c>
      <c r="V84" s="49">
        <f t="shared" si="64"/>
        <v>20.972222222222221</v>
      </c>
      <c r="W84" s="49">
        <f t="shared" si="64"/>
        <v>18.350000000000001</v>
      </c>
      <c r="X84" s="49">
        <f t="shared" si="64"/>
        <v>13.3125</v>
      </c>
      <c r="Y84" s="49">
        <f t="shared" si="64"/>
        <v>15.972222222222223</v>
      </c>
      <c r="Z84" s="49">
        <f t="shared" si="64"/>
        <v>0</v>
      </c>
      <c r="AA84" s="49">
        <f t="shared" si="65"/>
        <v>0</v>
      </c>
      <c r="AB84" s="49">
        <f t="shared" si="66"/>
        <v>0</v>
      </c>
      <c r="AC84" s="49">
        <f t="shared" si="67"/>
        <v>0</v>
      </c>
      <c r="AD84" s="49">
        <f t="shared" si="68"/>
        <v>0</v>
      </c>
      <c r="AE84" s="50">
        <f t="shared" si="69"/>
        <v>0</v>
      </c>
      <c r="AF84" s="186"/>
      <c r="AG84" s="322"/>
      <c r="AH84" s="138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4"/>
      <c r="AT84" s="23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4"/>
      <c r="BF84" s="138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194"/>
      <c r="CC84" s="191"/>
      <c r="CD84" s="199"/>
      <c r="CE84" s="153"/>
      <c r="CF84" s="156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62"/>
      <c r="CR84" s="120"/>
      <c r="CS84" s="120"/>
      <c r="CT84" s="120"/>
      <c r="CU84" s="120"/>
      <c r="CV84" s="120"/>
      <c r="CW84" s="120"/>
      <c r="CX84" s="120"/>
      <c r="CY84" s="120"/>
      <c r="CZ84" s="120"/>
      <c r="DA84" s="120"/>
      <c r="DB84" s="120"/>
      <c r="DC84" s="120"/>
      <c r="DD84" s="123"/>
      <c r="DE84" s="138"/>
      <c r="DF84" s="141"/>
      <c r="DG84" s="141"/>
      <c r="DH84" s="141"/>
      <c r="DI84" s="141"/>
      <c r="DJ84" s="141"/>
      <c r="DK84" s="141"/>
      <c r="DL84" s="141"/>
      <c r="DM84" s="141"/>
      <c r="DN84" s="141"/>
      <c r="DO84" s="141"/>
      <c r="DP84" s="144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9"/>
      <c r="EC84" s="132"/>
      <c r="EE84" s="114"/>
      <c r="EF84" s="117"/>
    </row>
    <row r="85" spans="1:136" ht="20.25" customHeight="1">
      <c r="A85" s="128"/>
      <c r="B85" s="254"/>
      <c r="C85" s="183"/>
      <c r="D85" s="246"/>
      <c r="E85" s="243"/>
      <c r="F85" s="2" t="s">
        <v>167</v>
      </c>
      <c r="G85" s="3" t="s">
        <v>178</v>
      </c>
      <c r="H85" s="46"/>
      <c r="I85" s="46"/>
      <c r="J85" s="46"/>
      <c r="K85" s="46"/>
      <c r="L85" s="46"/>
      <c r="M85" s="46"/>
      <c r="N85" s="46">
        <v>0.74074074074074081</v>
      </c>
      <c r="O85" s="46"/>
      <c r="P85" s="46"/>
      <c r="Q85" s="46"/>
      <c r="R85" s="46"/>
      <c r="S85" s="47"/>
      <c r="T85" s="48">
        <f t="shared" si="63"/>
        <v>0</v>
      </c>
      <c r="U85" s="49">
        <f t="shared" si="70"/>
        <v>0</v>
      </c>
      <c r="V85" s="49">
        <f t="shared" si="64"/>
        <v>0</v>
      </c>
      <c r="W85" s="49">
        <f t="shared" si="64"/>
        <v>0</v>
      </c>
      <c r="X85" s="49">
        <f t="shared" si="64"/>
        <v>0</v>
      </c>
      <c r="Y85" s="49">
        <f t="shared" si="64"/>
        <v>0</v>
      </c>
      <c r="Z85" s="49">
        <f t="shared" si="64"/>
        <v>17.777777777777779</v>
      </c>
      <c r="AA85" s="49">
        <f t="shared" si="65"/>
        <v>0</v>
      </c>
      <c r="AB85" s="49">
        <f t="shared" si="66"/>
        <v>0</v>
      </c>
      <c r="AC85" s="49">
        <f t="shared" si="67"/>
        <v>0</v>
      </c>
      <c r="AD85" s="49">
        <f t="shared" si="68"/>
        <v>0</v>
      </c>
      <c r="AE85" s="50">
        <f t="shared" si="69"/>
        <v>0</v>
      </c>
      <c r="AF85" s="186"/>
      <c r="AG85" s="322"/>
      <c r="AH85" s="138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4"/>
      <c r="AT85" s="23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4"/>
      <c r="BF85" s="138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4"/>
      <c r="CC85" s="191"/>
      <c r="CD85" s="199"/>
      <c r="CE85" s="153"/>
      <c r="CF85" s="156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62"/>
      <c r="CR85" s="120"/>
      <c r="CS85" s="120"/>
      <c r="CT85" s="120"/>
      <c r="CU85" s="120"/>
      <c r="CV85" s="120"/>
      <c r="CW85" s="120"/>
      <c r="CX85" s="120"/>
      <c r="CY85" s="120"/>
      <c r="CZ85" s="120"/>
      <c r="DA85" s="120"/>
      <c r="DB85" s="120"/>
      <c r="DC85" s="120"/>
      <c r="DD85" s="123"/>
      <c r="DE85" s="138"/>
      <c r="DF85" s="141"/>
      <c r="DG85" s="141"/>
      <c r="DH85" s="141"/>
      <c r="DI85" s="141"/>
      <c r="DJ85" s="141"/>
      <c r="DK85" s="141"/>
      <c r="DL85" s="141"/>
      <c r="DM85" s="141"/>
      <c r="DN85" s="141"/>
      <c r="DO85" s="141"/>
      <c r="DP85" s="144"/>
      <c r="DQ85" s="106"/>
      <c r="DR85" s="106"/>
      <c r="DS85" s="106"/>
      <c r="DT85" s="106"/>
      <c r="DU85" s="106"/>
      <c r="DV85" s="106"/>
      <c r="DW85" s="106"/>
      <c r="DX85" s="106"/>
      <c r="DY85" s="106"/>
      <c r="DZ85" s="106"/>
      <c r="EA85" s="106"/>
      <c r="EB85" s="109"/>
      <c r="EC85" s="132"/>
      <c r="EE85" s="114"/>
      <c r="EF85" s="117"/>
    </row>
    <row r="86" spans="1:136" ht="20.25" customHeight="1">
      <c r="A86" s="128"/>
      <c r="B86" s="254"/>
      <c r="C86" s="183"/>
      <c r="D86" s="248"/>
      <c r="E86" s="249"/>
      <c r="F86" s="2" t="s">
        <v>166</v>
      </c>
      <c r="G86" s="3" t="s">
        <v>179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7"/>
      <c r="T86" s="48">
        <f t="shared" si="63"/>
        <v>0</v>
      </c>
      <c r="U86" s="49">
        <f t="shared" si="70"/>
        <v>0</v>
      </c>
      <c r="V86" s="49">
        <f t="shared" si="64"/>
        <v>0</v>
      </c>
      <c r="W86" s="49">
        <f t="shared" si="64"/>
        <v>0</v>
      </c>
      <c r="X86" s="49">
        <f t="shared" si="64"/>
        <v>0</v>
      </c>
      <c r="Y86" s="49">
        <f t="shared" si="64"/>
        <v>0</v>
      </c>
      <c r="Z86" s="49">
        <f t="shared" si="65"/>
        <v>0</v>
      </c>
      <c r="AA86" s="49">
        <f t="shared" si="65"/>
        <v>0</v>
      </c>
      <c r="AB86" s="49">
        <f t="shared" si="66"/>
        <v>0</v>
      </c>
      <c r="AC86" s="49">
        <f t="shared" si="67"/>
        <v>0</v>
      </c>
      <c r="AD86" s="49">
        <f t="shared" si="68"/>
        <v>0</v>
      </c>
      <c r="AE86" s="50">
        <f t="shared" si="69"/>
        <v>0</v>
      </c>
      <c r="AF86" s="186"/>
      <c r="AG86" s="322"/>
      <c r="AH86" s="138"/>
      <c r="AI86" s="141"/>
      <c r="AJ86" s="141"/>
      <c r="AK86" s="141"/>
      <c r="AL86" s="141"/>
      <c r="AM86" s="141"/>
      <c r="AN86" s="141"/>
      <c r="AO86" s="141"/>
      <c r="AP86" s="141"/>
      <c r="AQ86" s="141"/>
      <c r="AR86" s="141"/>
      <c r="AS86" s="144"/>
      <c r="AT86" s="234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225"/>
      <c r="BF86" s="138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4"/>
      <c r="BR86" s="213"/>
      <c r="BS86" s="213"/>
      <c r="BT86" s="213"/>
      <c r="BU86" s="213"/>
      <c r="BV86" s="213"/>
      <c r="BW86" s="213"/>
      <c r="BX86" s="213"/>
      <c r="BY86" s="213"/>
      <c r="BZ86" s="213"/>
      <c r="CA86" s="213"/>
      <c r="CB86" s="213"/>
      <c r="CC86" s="192"/>
      <c r="CD86" s="199"/>
      <c r="CE86" s="153"/>
      <c r="CF86" s="156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62"/>
      <c r="CR86" s="120"/>
      <c r="CS86" s="120"/>
      <c r="CT86" s="120"/>
      <c r="CU86" s="120"/>
      <c r="CV86" s="120"/>
      <c r="CW86" s="120"/>
      <c r="CX86" s="120"/>
      <c r="CY86" s="120"/>
      <c r="CZ86" s="120"/>
      <c r="DA86" s="120"/>
      <c r="DB86" s="120"/>
      <c r="DC86" s="120"/>
      <c r="DD86" s="123"/>
      <c r="DE86" s="138"/>
      <c r="DF86" s="141"/>
      <c r="DG86" s="141"/>
      <c r="DH86" s="141"/>
      <c r="DI86" s="141"/>
      <c r="DJ86" s="141"/>
      <c r="DK86" s="141"/>
      <c r="DL86" s="141"/>
      <c r="DM86" s="141"/>
      <c r="DN86" s="141"/>
      <c r="DO86" s="141"/>
      <c r="DP86" s="144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9"/>
      <c r="EC86" s="132"/>
      <c r="EE86" s="114"/>
      <c r="EF86" s="117"/>
    </row>
    <row r="87" spans="1:136" ht="20.25" customHeight="1">
      <c r="A87" s="128"/>
      <c r="B87" s="254"/>
      <c r="C87" s="183"/>
      <c r="D87" s="250" t="s">
        <v>127</v>
      </c>
      <c r="E87" s="251" t="s">
        <v>4</v>
      </c>
      <c r="F87" s="76" t="s">
        <v>128</v>
      </c>
      <c r="G87" s="77" t="s">
        <v>133</v>
      </c>
      <c r="H87" s="46"/>
      <c r="I87" s="46"/>
      <c r="J87" s="46"/>
      <c r="K87" s="46"/>
      <c r="L87" s="46"/>
      <c r="M87" s="46"/>
      <c r="N87" s="46">
        <v>1</v>
      </c>
      <c r="O87" s="46"/>
      <c r="P87" s="46"/>
      <c r="Q87" s="46"/>
      <c r="R87" s="46"/>
      <c r="S87" s="47"/>
      <c r="T87" s="48">
        <f t="shared" si="63"/>
        <v>0</v>
      </c>
      <c r="U87" s="49">
        <f t="shared" si="70"/>
        <v>0</v>
      </c>
      <c r="V87" s="49">
        <f t="shared" si="64"/>
        <v>0</v>
      </c>
      <c r="W87" s="49">
        <f t="shared" si="64"/>
        <v>0</v>
      </c>
      <c r="X87" s="49">
        <f t="shared" si="64"/>
        <v>0</v>
      </c>
      <c r="Y87" s="49">
        <f t="shared" si="64"/>
        <v>0</v>
      </c>
      <c r="Z87" s="49">
        <f t="shared" si="65"/>
        <v>24</v>
      </c>
      <c r="AA87" s="49">
        <f t="shared" si="65"/>
        <v>0</v>
      </c>
      <c r="AB87" s="49">
        <f t="shared" si="66"/>
        <v>0</v>
      </c>
      <c r="AC87" s="49">
        <f t="shared" si="67"/>
        <v>0</v>
      </c>
      <c r="AD87" s="49">
        <f t="shared" si="68"/>
        <v>0</v>
      </c>
      <c r="AE87" s="50">
        <f t="shared" si="69"/>
        <v>0</v>
      </c>
      <c r="AF87" s="186"/>
      <c r="AG87" s="322"/>
      <c r="AH87" s="138">
        <f>IFERROR((SUM(T87:T88)/COUNTIF(T87:T88,"&gt;0")),0)</f>
        <v>19.533333333333331</v>
      </c>
      <c r="AI87" s="141">
        <f t="shared" ref="AI87:AS87" si="76">IFERROR((SUM(U87:U88)/COUNTIF(U87:U88,"&gt;0")),0)</f>
        <v>11.815833333333334</v>
      </c>
      <c r="AJ87" s="141">
        <f t="shared" si="76"/>
        <v>18.236111111111111</v>
      </c>
      <c r="AK87" s="141">
        <f t="shared" si="76"/>
        <v>23.054166666666667</v>
      </c>
      <c r="AL87" s="141">
        <f t="shared" si="76"/>
        <v>24</v>
      </c>
      <c r="AM87" s="141">
        <f t="shared" si="76"/>
        <v>24</v>
      </c>
      <c r="AN87" s="141">
        <f t="shared" si="76"/>
        <v>24</v>
      </c>
      <c r="AO87" s="141">
        <f t="shared" si="76"/>
        <v>0</v>
      </c>
      <c r="AP87" s="141">
        <f t="shared" si="76"/>
        <v>0</v>
      </c>
      <c r="AQ87" s="141">
        <f t="shared" si="76"/>
        <v>0</v>
      </c>
      <c r="AR87" s="141">
        <f t="shared" si="76"/>
        <v>0</v>
      </c>
      <c r="AS87" s="144">
        <f t="shared" si="76"/>
        <v>0</v>
      </c>
      <c r="AT87" s="231">
        <v>421</v>
      </c>
      <c r="AU87" s="219">
        <v>428</v>
      </c>
      <c r="AV87" s="219">
        <v>428</v>
      </c>
      <c r="AW87" s="219">
        <v>425</v>
      </c>
      <c r="AX87" s="219">
        <v>424</v>
      </c>
      <c r="AY87" s="219">
        <v>425</v>
      </c>
      <c r="AZ87" s="219">
        <v>433</v>
      </c>
      <c r="BA87" s="219"/>
      <c r="BB87" s="219"/>
      <c r="BC87" s="219"/>
      <c r="BD87" s="219"/>
      <c r="BE87" s="226"/>
      <c r="BF87" s="138">
        <f>IFERROR((((AH87*AT87)+(AH89*AT89)+(AH91*AT91))/SUM(AT87:AT92)),0)</f>
        <v>22.681325921350627</v>
      </c>
      <c r="BG87" s="141">
        <f t="shared" ref="BG87:BP87" si="77">IFERROR((((AI87*AU87)+(AI89*AU89)+(AI91*AU91))/SUM(AU87:AU92)),0)</f>
        <v>19.388015439590074</v>
      </c>
      <c r="BH87" s="141">
        <f t="shared" si="77"/>
        <v>14.910422573241528</v>
      </c>
      <c r="BI87" s="141">
        <f t="shared" si="77"/>
        <v>15.857138124362898</v>
      </c>
      <c r="BJ87" s="141">
        <f t="shared" si="77"/>
        <v>24</v>
      </c>
      <c r="BK87" s="141">
        <f t="shared" si="77"/>
        <v>24</v>
      </c>
      <c r="BL87" s="141">
        <f>IFERROR((((AN87*AZ87)+(AN89*AZ89)+(AN91*AZ91))/SUM(AZ87:AZ92)),0)</f>
        <v>24</v>
      </c>
      <c r="BM87" s="141">
        <f t="shared" si="77"/>
        <v>0</v>
      </c>
      <c r="BN87" s="141">
        <f t="shared" si="77"/>
        <v>0</v>
      </c>
      <c r="BO87" s="141">
        <f t="shared" si="77"/>
        <v>0</v>
      </c>
      <c r="BP87" s="141">
        <f t="shared" si="77"/>
        <v>0</v>
      </c>
      <c r="BQ87" s="144">
        <f>IFERROR((((AS87*BE87)+(AS89*BE89)+(AS91*BE91))/SUM(BE87:BE92)),0)</f>
        <v>0</v>
      </c>
      <c r="BR87" s="193">
        <f>SUM(AT87:AT92)</f>
        <v>1619</v>
      </c>
      <c r="BS87" s="193">
        <f t="shared" ref="BS87:CC87" si="78">SUM(AU87:AU92)</f>
        <v>1648</v>
      </c>
      <c r="BT87" s="193">
        <f t="shared" si="78"/>
        <v>1646</v>
      </c>
      <c r="BU87" s="193">
        <f t="shared" si="78"/>
        <v>1635</v>
      </c>
      <c r="BV87" s="193">
        <f t="shared" si="78"/>
        <v>1631</v>
      </c>
      <c r="BW87" s="193">
        <f t="shared" si="78"/>
        <v>1636</v>
      </c>
      <c r="BX87" s="193">
        <f t="shared" si="78"/>
        <v>1665</v>
      </c>
      <c r="BY87" s="193">
        <f t="shared" si="78"/>
        <v>0</v>
      </c>
      <c r="BZ87" s="193">
        <f t="shared" si="78"/>
        <v>0</v>
      </c>
      <c r="CA87" s="193">
        <f t="shared" si="78"/>
        <v>0</v>
      </c>
      <c r="CB87" s="193">
        <f t="shared" si="78"/>
        <v>0</v>
      </c>
      <c r="CC87" s="196">
        <f t="shared" si="78"/>
        <v>0</v>
      </c>
      <c r="CD87" s="202">
        <f>IFERROR(((BF87*BR87)+(BG87*BS87)+(BH87*BT87)+(BI87*BU87)+(BJ87*BV87)+(BK87*BW87)+(BL87*BX87)+(BM87*BY87)+(BN87*BZ87)+(BO87*CA87)+(BP87*CB87)+(BQ87*CC87))/SUM(BR87:CC92),0)</f>
        <v>20.68898018292683</v>
      </c>
      <c r="CE87" s="153"/>
      <c r="CF87" s="156"/>
      <c r="CG87" s="159"/>
      <c r="CH87" s="159"/>
      <c r="CI87" s="159"/>
      <c r="CJ87" s="159"/>
      <c r="CK87" s="159"/>
      <c r="CL87" s="159"/>
      <c r="CM87" s="159"/>
      <c r="CN87" s="159"/>
      <c r="CO87" s="159"/>
      <c r="CP87" s="159"/>
      <c r="CQ87" s="162"/>
      <c r="CR87" s="120"/>
      <c r="CS87" s="120"/>
      <c r="CT87" s="120"/>
      <c r="CU87" s="120"/>
      <c r="CV87" s="120"/>
      <c r="CW87" s="120"/>
      <c r="CX87" s="120"/>
      <c r="CY87" s="120"/>
      <c r="CZ87" s="120"/>
      <c r="DA87" s="120"/>
      <c r="DB87" s="120"/>
      <c r="DC87" s="120"/>
      <c r="DD87" s="123"/>
      <c r="DE87" s="138"/>
      <c r="DF87" s="141"/>
      <c r="DG87" s="141"/>
      <c r="DH87" s="141"/>
      <c r="DI87" s="141"/>
      <c r="DJ87" s="141"/>
      <c r="DK87" s="141"/>
      <c r="DL87" s="141"/>
      <c r="DM87" s="141"/>
      <c r="DN87" s="141"/>
      <c r="DO87" s="141"/>
      <c r="DP87" s="144"/>
      <c r="DQ87" s="106"/>
      <c r="DR87" s="106"/>
      <c r="DS87" s="106"/>
      <c r="DT87" s="106"/>
      <c r="DU87" s="106"/>
      <c r="DV87" s="106"/>
      <c r="DW87" s="106"/>
      <c r="DX87" s="106"/>
      <c r="DY87" s="106"/>
      <c r="DZ87" s="106"/>
      <c r="EA87" s="106"/>
      <c r="EB87" s="109"/>
      <c r="EC87" s="132"/>
      <c r="EE87" s="114"/>
      <c r="EF87" s="117"/>
    </row>
    <row r="88" spans="1:136" ht="20.25" customHeight="1">
      <c r="A88" s="128"/>
      <c r="B88" s="254"/>
      <c r="C88" s="183"/>
      <c r="D88" s="246"/>
      <c r="E88" s="238"/>
      <c r="F88" s="103" t="s">
        <v>129</v>
      </c>
      <c r="G88" s="104" t="s">
        <v>134</v>
      </c>
      <c r="H88" s="46">
        <v>0.81388888888888888</v>
      </c>
      <c r="I88" s="46">
        <v>0.49232638888888891</v>
      </c>
      <c r="J88" s="46">
        <v>0.75983796296296291</v>
      </c>
      <c r="K88" s="46">
        <v>0.96059027777777783</v>
      </c>
      <c r="L88" s="46">
        <v>1</v>
      </c>
      <c r="M88" s="46">
        <v>1</v>
      </c>
      <c r="N88" s="46"/>
      <c r="O88" s="46"/>
      <c r="P88" s="46"/>
      <c r="Q88" s="46"/>
      <c r="R88" s="46"/>
      <c r="S88" s="47"/>
      <c r="T88" s="48">
        <f t="shared" si="63"/>
        <v>19.533333333333331</v>
      </c>
      <c r="U88" s="49">
        <f t="shared" si="70"/>
        <v>11.815833333333334</v>
      </c>
      <c r="V88" s="49">
        <f t="shared" si="70"/>
        <v>18.236111111111111</v>
      </c>
      <c r="W88" s="49">
        <f t="shared" si="70"/>
        <v>23.054166666666667</v>
      </c>
      <c r="X88" s="49">
        <f t="shared" si="70"/>
        <v>24</v>
      </c>
      <c r="Y88" s="49">
        <f t="shared" si="70"/>
        <v>24</v>
      </c>
      <c r="Z88" s="49">
        <f t="shared" si="65"/>
        <v>0</v>
      </c>
      <c r="AA88" s="49">
        <f t="shared" si="65"/>
        <v>0</v>
      </c>
      <c r="AB88" s="49">
        <f t="shared" si="66"/>
        <v>0</v>
      </c>
      <c r="AC88" s="49">
        <f t="shared" si="67"/>
        <v>0</v>
      </c>
      <c r="AD88" s="49">
        <f t="shared" si="68"/>
        <v>0</v>
      </c>
      <c r="AE88" s="50">
        <f t="shared" si="69"/>
        <v>0</v>
      </c>
      <c r="AF88" s="186"/>
      <c r="AG88" s="322"/>
      <c r="AH88" s="138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4"/>
      <c r="AT88" s="234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5"/>
      <c r="BF88" s="138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1"/>
      <c r="CD88" s="202"/>
      <c r="CE88" s="153"/>
      <c r="CF88" s="156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62"/>
      <c r="CR88" s="120"/>
      <c r="CS88" s="120"/>
      <c r="CT88" s="120"/>
      <c r="CU88" s="120"/>
      <c r="CV88" s="120"/>
      <c r="CW88" s="120"/>
      <c r="CX88" s="120"/>
      <c r="CY88" s="120"/>
      <c r="CZ88" s="120"/>
      <c r="DA88" s="120"/>
      <c r="DB88" s="120"/>
      <c r="DC88" s="120"/>
      <c r="DD88" s="123"/>
      <c r="DE88" s="138"/>
      <c r="DF88" s="141"/>
      <c r="DG88" s="141"/>
      <c r="DH88" s="141"/>
      <c r="DI88" s="141"/>
      <c r="DJ88" s="141"/>
      <c r="DK88" s="141"/>
      <c r="DL88" s="141"/>
      <c r="DM88" s="141"/>
      <c r="DN88" s="141"/>
      <c r="DO88" s="141"/>
      <c r="DP88" s="144"/>
      <c r="DQ88" s="106"/>
      <c r="DR88" s="106"/>
      <c r="DS88" s="106"/>
      <c r="DT88" s="106"/>
      <c r="DU88" s="106"/>
      <c r="DV88" s="106"/>
      <c r="DW88" s="106"/>
      <c r="DX88" s="106"/>
      <c r="DY88" s="106"/>
      <c r="DZ88" s="106"/>
      <c r="EA88" s="106"/>
      <c r="EB88" s="109"/>
      <c r="EC88" s="132"/>
      <c r="EE88" s="114"/>
      <c r="EF88" s="117"/>
    </row>
    <row r="89" spans="1:136" ht="20.25" customHeight="1">
      <c r="A89" s="128"/>
      <c r="B89" s="254"/>
      <c r="C89" s="183"/>
      <c r="D89" s="246"/>
      <c r="E89" s="239" t="s">
        <v>5</v>
      </c>
      <c r="F89" s="2" t="s">
        <v>130</v>
      </c>
      <c r="G89" s="3" t="s">
        <v>135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7"/>
      <c r="T89" s="48">
        <f t="shared" si="63"/>
        <v>0</v>
      </c>
      <c r="U89" s="49">
        <f t="shared" si="70"/>
        <v>0</v>
      </c>
      <c r="V89" s="49">
        <f t="shared" si="70"/>
        <v>0</v>
      </c>
      <c r="W89" s="49">
        <f t="shared" si="70"/>
        <v>0</v>
      </c>
      <c r="X89" s="49">
        <f t="shared" si="70"/>
        <v>0</v>
      </c>
      <c r="Y89" s="49">
        <f t="shared" si="70"/>
        <v>0</v>
      </c>
      <c r="Z89" s="49">
        <f t="shared" si="65"/>
        <v>0</v>
      </c>
      <c r="AA89" s="49">
        <f t="shared" si="65"/>
        <v>0</v>
      </c>
      <c r="AB89" s="49">
        <f t="shared" si="66"/>
        <v>0</v>
      </c>
      <c r="AC89" s="49">
        <f t="shared" si="67"/>
        <v>0</v>
      </c>
      <c r="AD89" s="49">
        <f t="shared" si="68"/>
        <v>0</v>
      </c>
      <c r="AE89" s="50">
        <f t="shared" si="69"/>
        <v>0</v>
      </c>
      <c r="AF89" s="186"/>
      <c r="AG89" s="322"/>
      <c r="AH89" s="138">
        <f>IFERROR((SUM(T89:T90)/COUNTIF(T89:T90,"&gt;0")),0)</f>
        <v>23.266666666666666</v>
      </c>
      <c r="AI89" s="141">
        <f t="shared" ref="AI89:AS89" si="79">IFERROR((SUM(U89:U90)/COUNTIF(U89:U90,"&gt;0")),0)</f>
        <v>22.828055555555554</v>
      </c>
      <c r="AJ89" s="141">
        <f t="shared" si="79"/>
        <v>12.5</v>
      </c>
      <c r="AK89" s="141">
        <f t="shared" si="79"/>
        <v>11.266666666666667</v>
      </c>
      <c r="AL89" s="141">
        <f t="shared" si="79"/>
        <v>24</v>
      </c>
      <c r="AM89" s="141">
        <f t="shared" si="79"/>
        <v>24</v>
      </c>
      <c r="AN89" s="141">
        <f t="shared" si="79"/>
        <v>24</v>
      </c>
      <c r="AO89" s="141">
        <f t="shared" si="79"/>
        <v>0</v>
      </c>
      <c r="AP89" s="141">
        <f t="shared" si="79"/>
        <v>0</v>
      </c>
      <c r="AQ89" s="141">
        <f t="shared" si="79"/>
        <v>0</v>
      </c>
      <c r="AR89" s="141">
        <f t="shared" si="79"/>
        <v>0</v>
      </c>
      <c r="AS89" s="144">
        <f t="shared" si="79"/>
        <v>0</v>
      </c>
      <c r="AT89" s="231">
        <v>347</v>
      </c>
      <c r="AU89" s="219">
        <v>1022</v>
      </c>
      <c r="AV89" s="219">
        <v>1020</v>
      </c>
      <c r="AW89" s="219">
        <v>1014</v>
      </c>
      <c r="AX89" s="219">
        <v>1011</v>
      </c>
      <c r="AY89" s="219">
        <v>1015</v>
      </c>
      <c r="AZ89" s="219">
        <v>1032</v>
      </c>
      <c r="BA89" s="219"/>
      <c r="BB89" s="219"/>
      <c r="BC89" s="219"/>
      <c r="BD89" s="219"/>
      <c r="BE89" s="226"/>
      <c r="BF89" s="138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1"/>
      <c r="CD89" s="202"/>
      <c r="CE89" s="153"/>
      <c r="CF89" s="156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62"/>
      <c r="CR89" s="120"/>
      <c r="CS89" s="120"/>
      <c r="CT89" s="120"/>
      <c r="CU89" s="120"/>
      <c r="CV89" s="120"/>
      <c r="CW89" s="120"/>
      <c r="CX89" s="120"/>
      <c r="CY89" s="120"/>
      <c r="CZ89" s="120"/>
      <c r="DA89" s="120"/>
      <c r="DB89" s="120"/>
      <c r="DC89" s="120"/>
      <c r="DD89" s="123"/>
      <c r="DE89" s="138"/>
      <c r="DF89" s="141"/>
      <c r="DG89" s="141"/>
      <c r="DH89" s="141"/>
      <c r="DI89" s="141"/>
      <c r="DJ89" s="141"/>
      <c r="DK89" s="141"/>
      <c r="DL89" s="141"/>
      <c r="DM89" s="141"/>
      <c r="DN89" s="141"/>
      <c r="DO89" s="141"/>
      <c r="DP89" s="144"/>
      <c r="DQ89" s="106"/>
      <c r="DR89" s="106"/>
      <c r="DS89" s="106"/>
      <c r="DT89" s="106"/>
      <c r="DU89" s="106"/>
      <c r="DV89" s="106"/>
      <c r="DW89" s="106"/>
      <c r="DX89" s="106"/>
      <c r="DY89" s="106"/>
      <c r="DZ89" s="106"/>
      <c r="EA89" s="106"/>
      <c r="EB89" s="109"/>
      <c r="EC89" s="132"/>
      <c r="EE89" s="114"/>
      <c r="EF89" s="117"/>
    </row>
    <row r="90" spans="1:136" ht="20.25" customHeight="1">
      <c r="A90" s="128"/>
      <c r="B90" s="254"/>
      <c r="C90" s="183"/>
      <c r="D90" s="246"/>
      <c r="E90" s="241"/>
      <c r="F90" s="76" t="s">
        <v>131</v>
      </c>
      <c r="G90" s="77" t="s">
        <v>136</v>
      </c>
      <c r="H90" s="46">
        <v>0.96944444444444444</v>
      </c>
      <c r="I90" s="46">
        <v>0.95116898148148143</v>
      </c>
      <c r="J90" s="46">
        <v>0.52083333333333337</v>
      </c>
      <c r="K90" s="46">
        <v>0.4694444444444445</v>
      </c>
      <c r="L90" s="46">
        <v>1</v>
      </c>
      <c r="M90" s="46">
        <v>1</v>
      </c>
      <c r="N90" s="46">
        <v>1</v>
      </c>
      <c r="O90" s="46"/>
      <c r="P90" s="46"/>
      <c r="Q90" s="46"/>
      <c r="R90" s="46"/>
      <c r="S90" s="47"/>
      <c r="T90" s="48">
        <f t="shared" si="63"/>
        <v>23.266666666666666</v>
      </c>
      <c r="U90" s="49">
        <f t="shared" si="70"/>
        <v>22.828055555555554</v>
      </c>
      <c r="V90" s="49">
        <f t="shared" si="70"/>
        <v>12.5</v>
      </c>
      <c r="W90" s="49">
        <f t="shared" si="70"/>
        <v>11.266666666666667</v>
      </c>
      <c r="X90" s="49">
        <f t="shared" si="70"/>
        <v>24</v>
      </c>
      <c r="Y90" s="49">
        <f t="shared" si="70"/>
        <v>24</v>
      </c>
      <c r="Z90" s="49">
        <f t="shared" si="65"/>
        <v>24</v>
      </c>
      <c r="AA90" s="49">
        <f t="shared" si="65"/>
        <v>0</v>
      </c>
      <c r="AB90" s="49">
        <f t="shared" si="66"/>
        <v>0</v>
      </c>
      <c r="AC90" s="49">
        <f t="shared" si="67"/>
        <v>0</v>
      </c>
      <c r="AD90" s="49">
        <f t="shared" si="68"/>
        <v>0</v>
      </c>
      <c r="AE90" s="50">
        <f t="shared" si="69"/>
        <v>0</v>
      </c>
      <c r="AF90" s="186"/>
      <c r="AG90" s="322"/>
      <c r="AH90" s="138"/>
      <c r="AI90" s="141"/>
      <c r="AJ90" s="141"/>
      <c r="AK90" s="141"/>
      <c r="AL90" s="141"/>
      <c r="AM90" s="141"/>
      <c r="AN90" s="141"/>
      <c r="AO90" s="141"/>
      <c r="AP90" s="141"/>
      <c r="AQ90" s="141"/>
      <c r="AR90" s="141"/>
      <c r="AS90" s="144"/>
      <c r="AT90" s="234"/>
      <c r="AU90" s="220"/>
      <c r="AV90" s="220"/>
      <c r="AW90" s="220"/>
      <c r="AX90" s="220"/>
      <c r="AY90" s="220"/>
      <c r="AZ90" s="220"/>
      <c r="BA90" s="220"/>
      <c r="BB90" s="220"/>
      <c r="BC90" s="220"/>
      <c r="BD90" s="220"/>
      <c r="BE90" s="225"/>
      <c r="BF90" s="138"/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4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1"/>
      <c r="CD90" s="202"/>
      <c r="CE90" s="153"/>
      <c r="CF90" s="156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62"/>
      <c r="CR90" s="120"/>
      <c r="CS90" s="120"/>
      <c r="CT90" s="120"/>
      <c r="CU90" s="120"/>
      <c r="CV90" s="120"/>
      <c r="CW90" s="120"/>
      <c r="CX90" s="120"/>
      <c r="CY90" s="120"/>
      <c r="CZ90" s="120"/>
      <c r="DA90" s="120"/>
      <c r="DB90" s="120"/>
      <c r="DC90" s="120"/>
      <c r="DD90" s="123"/>
      <c r="DE90" s="138"/>
      <c r="DF90" s="141"/>
      <c r="DG90" s="141"/>
      <c r="DH90" s="141"/>
      <c r="DI90" s="141"/>
      <c r="DJ90" s="141"/>
      <c r="DK90" s="141"/>
      <c r="DL90" s="141"/>
      <c r="DM90" s="141"/>
      <c r="DN90" s="141"/>
      <c r="DO90" s="141"/>
      <c r="DP90" s="144"/>
      <c r="DQ90" s="106"/>
      <c r="DR90" s="106"/>
      <c r="DS90" s="106"/>
      <c r="DT90" s="106"/>
      <c r="DU90" s="106"/>
      <c r="DV90" s="106"/>
      <c r="DW90" s="106"/>
      <c r="DX90" s="106"/>
      <c r="DY90" s="106"/>
      <c r="DZ90" s="106"/>
      <c r="EA90" s="106"/>
      <c r="EB90" s="109"/>
      <c r="EC90" s="132"/>
      <c r="EE90" s="114"/>
      <c r="EF90" s="117"/>
    </row>
    <row r="91" spans="1:136" ht="20.25" customHeight="1">
      <c r="A91" s="128"/>
      <c r="B91" s="254"/>
      <c r="C91" s="183"/>
      <c r="D91" s="246"/>
      <c r="E91" s="242" t="s">
        <v>6</v>
      </c>
      <c r="F91" s="2" t="s">
        <v>132</v>
      </c>
      <c r="G91" s="3" t="s">
        <v>137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7"/>
      <c r="T91" s="48">
        <f t="shared" si="63"/>
        <v>0</v>
      </c>
      <c r="U91" s="49">
        <f t="shared" si="70"/>
        <v>0</v>
      </c>
      <c r="V91" s="49">
        <f t="shared" si="70"/>
        <v>0</v>
      </c>
      <c r="W91" s="49">
        <f t="shared" si="70"/>
        <v>0</v>
      </c>
      <c r="X91" s="49">
        <f t="shared" si="70"/>
        <v>0</v>
      </c>
      <c r="Y91" s="49">
        <f t="shared" si="70"/>
        <v>0</v>
      </c>
      <c r="Z91" s="49">
        <f t="shared" si="65"/>
        <v>0</v>
      </c>
      <c r="AA91" s="49">
        <f t="shared" si="65"/>
        <v>0</v>
      </c>
      <c r="AB91" s="49">
        <f t="shared" si="66"/>
        <v>0</v>
      </c>
      <c r="AC91" s="49">
        <f t="shared" si="67"/>
        <v>0</v>
      </c>
      <c r="AD91" s="49">
        <f t="shared" si="68"/>
        <v>0</v>
      </c>
      <c r="AE91" s="50">
        <f t="shared" si="69"/>
        <v>0</v>
      </c>
      <c r="AF91" s="186"/>
      <c r="AG91" s="322"/>
      <c r="AH91" s="138">
        <f>IFERROR((SUM(T91:T92)/COUNTIF(T91:T92,"&gt;0")),0)</f>
        <v>24</v>
      </c>
      <c r="AI91" s="141">
        <f t="shared" ref="AI91:AS91" si="80">IFERROR((SUM(U91:U92)/COUNTIF(U91:U92,"&gt;0")),0)</f>
        <v>18</v>
      </c>
      <c r="AJ91" s="141">
        <f t="shared" si="80"/>
        <v>20.138888888888889</v>
      </c>
      <c r="AK91" s="141">
        <f t="shared" si="80"/>
        <v>24</v>
      </c>
      <c r="AL91" s="141">
        <f t="shared" si="80"/>
        <v>24</v>
      </c>
      <c r="AM91" s="141">
        <f t="shared" si="80"/>
        <v>24</v>
      </c>
      <c r="AN91" s="141">
        <f t="shared" si="80"/>
        <v>24</v>
      </c>
      <c r="AO91" s="141">
        <f t="shared" si="80"/>
        <v>0</v>
      </c>
      <c r="AP91" s="141">
        <f t="shared" si="80"/>
        <v>0</v>
      </c>
      <c r="AQ91" s="141">
        <f t="shared" si="80"/>
        <v>0</v>
      </c>
      <c r="AR91" s="141">
        <f t="shared" si="80"/>
        <v>0</v>
      </c>
      <c r="AS91" s="144">
        <f t="shared" si="80"/>
        <v>0</v>
      </c>
      <c r="AT91" s="231">
        <v>851</v>
      </c>
      <c r="AU91" s="219">
        <v>198</v>
      </c>
      <c r="AV91" s="219">
        <v>198</v>
      </c>
      <c r="AW91" s="219">
        <v>196</v>
      </c>
      <c r="AX91" s="219">
        <v>196</v>
      </c>
      <c r="AY91" s="219">
        <v>196</v>
      </c>
      <c r="AZ91" s="219">
        <v>200</v>
      </c>
      <c r="BA91" s="219"/>
      <c r="BB91" s="219"/>
      <c r="BC91" s="219"/>
      <c r="BD91" s="219"/>
      <c r="BE91" s="226"/>
      <c r="BF91" s="138"/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4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1"/>
      <c r="CD91" s="202"/>
      <c r="CE91" s="153"/>
      <c r="CF91" s="156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62"/>
      <c r="CR91" s="120"/>
      <c r="CS91" s="120"/>
      <c r="CT91" s="120"/>
      <c r="CU91" s="120"/>
      <c r="CV91" s="120"/>
      <c r="CW91" s="120"/>
      <c r="CX91" s="120"/>
      <c r="CY91" s="120"/>
      <c r="CZ91" s="120"/>
      <c r="DA91" s="120"/>
      <c r="DB91" s="120"/>
      <c r="DC91" s="120"/>
      <c r="DD91" s="123"/>
      <c r="DE91" s="138"/>
      <c r="DF91" s="141"/>
      <c r="DG91" s="141"/>
      <c r="DH91" s="141"/>
      <c r="DI91" s="141"/>
      <c r="DJ91" s="141"/>
      <c r="DK91" s="141"/>
      <c r="DL91" s="141"/>
      <c r="DM91" s="141"/>
      <c r="DN91" s="141"/>
      <c r="DO91" s="141"/>
      <c r="DP91" s="144"/>
      <c r="DQ91" s="106"/>
      <c r="DR91" s="106"/>
      <c r="DS91" s="106"/>
      <c r="DT91" s="106"/>
      <c r="DU91" s="106"/>
      <c r="DV91" s="106"/>
      <c r="DW91" s="106"/>
      <c r="DX91" s="106"/>
      <c r="DY91" s="106"/>
      <c r="DZ91" s="106"/>
      <c r="EA91" s="106"/>
      <c r="EB91" s="109"/>
      <c r="EC91" s="132"/>
      <c r="EE91" s="114"/>
      <c r="EF91" s="117"/>
    </row>
    <row r="92" spans="1:136" ht="20.25" customHeight="1" thickBot="1">
      <c r="A92" s="128"/>
      <c r="B92" s="254"/>
      <c r="C92" s="184"/>
      <c r="D92" s="247"/>
      <c r="E92" s="244"/>
      <c r="F92" s="80" t="s">
        <v>274</v>
      </c>
      <c r="G92" s="81" t="s">
        <v>138</v>
      </c>
      <c r="H92" s="51">
        <v>1</v>
      </c>
      <c r="I92" s="46">
        <v>0.75</v>
      </c>
      <c r="J92" s="46">
        <v>0.83912037037037035</v>
      </c>
      <c r="K92" s="46">
        <v>1</v>
      </c>
      <c r="L92" s="46">
        <v>1</v>
      </c>
      <c r="M92" s="46">
        <v>1</v>
      </c>
      <c r="N92" s="46">
        <v>1</v>
      </c>
      <c r="O92" s="51"/>
      <c r="P92" s="51"/>
      <c r="Q92" s="51"/>
      <c r="R92" s="51"/>
      <c r="S92" s="52"/>
      <c r="T92" s="53">
        <f t="shared" si="63"/>
        <v>24</v>
      </c>
      <c r="U92" s="54">
        <f t="shared" si="70"/>
        <v>18</v>
      </c>
      <c r="V92" s="54">
        <f t="shared" si="70"/>
        <v>20.138888888888889</v>
      </c>
      <c r="W92" s="54">
        <f t="shared" si="70"/>
        <v>24</v>
      </c>
      <c r="X92" s="54">
        <f t="shared" si="70"/>
        <v>24</v>
      </c>
      <c r="Y92" s="54">
        <f t="shared" si="70"/>
        <v>24</v>
      </c>
      <c r="Z92" s="54">
        <f t="shared" si="65"/>
        <v>24</v>
      </c>
      <c r="AA92" s="54">
        <f t="shared" si="65"/>
        <v>0</v>
      </c>
      <c r="AB92" s="54">
        <f t="shared" si="66"/>
        <v>0</v>
      </c>
      <c r="AC92" s="54">
        <f t="shared" si="67"/>
        <v>0</v>
      </c>
      <c r="AD92" s="54">
        <f t="shared" si="68"/>
        <v>0</v>
      </c>
      <c r="AE92" s="55">
        <f t="shared" si="69"/>
        <v>0</v>
      </c>
      <c r="AF92" s="186"/>
      <c r="AG92" s="322"/>
      <c r="AH92" s="139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5"/>
      <c r="AT92" s="233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30"/>
      <c r="BF92" s="139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5"/>
      <c r="BR92" s="195"/>
      <c r="BS92" s="195"/>
      <c r="BT92" s="195"/>
      <c r="BU92" s="195"/>
      <c r="BV92" s="195"/>
      <c r="BW92" s="195"/>
      <c r="BX92" s="195"/>
      <c r="BY92" s="195"/>
      <c r="BZ92" s="195"/>
      <c r="CA92" s="195"/>
      <c r="CB92" s="195"/>
      <c r="CC92" s="197"/>
      <c r="CD92" s="203"/>
      <c r="CE92" s="154"/>
      <c r="CF92" s="156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62"/>
      <c r="CR92" s="120"/>
      <c r="CS92" s="120"/>
      <c r="CT92" s="120"/>
      <c r="CU92" s="120"/>
      <c r="CV92" s="120"/>
      <c r="CW92" s="120"/>
      <c r="CX92" s="120"/>
      <c r="CY92" s="120"/>
      <c r="CZ92" s="120"/>
      <c r="DA92" s="120"/>
      <c r="DB92" s="120"/>
      <c r="DC92" s="120"/>
      <c r="DD92" s="123"/>
      <c r="DE92" s="138"/>
      <c r="DF92" s="141"/>
      <c r="DG92" s="141"/>
      <c r="DH92" s="141"/>
      <c r="DI92" s="141"/>
      <c r="DJ92" s="141"/>
      <c r="DK92" s="141"/>
      <c r="DL92" s="141"/>
      <c r="DM92" s="141"/>
      <c r="DN92" s="141"/>
      <c r="DO92" s="141"/>
      <c r="DP92" s="144"/>
      <c r="DQ92" s="106"/>
      <c r="DR92" s="106"/>
      <c r="DS92" s="106"/>
      <c r="DT92" s="106"/>
      <c r="DU92" s="106"/>
      <c r="DV92" s="106"/>
      <c r="DW92" s="106"/>
      <c r="DX92" s="106"/>
      <c r="DY92" s="106"/>
      <c r="DZ92" s="106"/>
      <c r="EA92" s="106"/>
      <c r="EB92" s="109"/>
      <c r="EC92" s="132"/>
      <c r="EE92" s="114"/>
      <c r="EF92" s="117"/>
    </row>
    <row r="93" spans="1:136" ht="20.25" customHeight="1">
      <c r="A93" s="128"/>
      <c r="B93" s="254"/>
      <c r="C93" s="268" t="s">
        <v>25</v>
      </c>
      <c r="D93" s="271" t="s">
        <v>125</v>
      </c>
      <c r="E93" s="236" t="s">
        <v>4</v>
      </c>
      <c r="F93" s="8" t="s">
        <v>202</v>
      </c>
      <c r="G93" s="9" t="s">
        <v>222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2"/>
      <c r="T93" s="92">
        <f t="shared" si="63"/>
        <v>0</v>
      </c>
      <c r="U93" s="90">
        <f t="shared" si="70"/>
        <v>0</v>
      </c>
      <c r="V93" s="90">
        <f t="shared" si="70"/>
        <v>0</v>
      </c>
      <c r="W93" s="90">
        <f t="shared" si="70"/>
        <v>0</v>
      </c>
      <c r="X93" s="90">
        <f t="shared" si="70"/>
        <v>0</v>
      </c>
      <c r="Y93" s="90">
        <f t="shared" si="70"/>
        <v>0</v>
      </c>
      <c r="Z93" s="90">
        <f t="shared" si="65"/>
        <v>0</v>
      </c>
      <c r="AA93" s="90">
        <f t="shared" si="65"/>
        <v>0</v>
      </c>
      <c r="AB93" s="90">
        <f t="shared" si="66"/>
        <v>0</v>
      </c>
      <c r="AC93" s="44">
        <f t="shared" si="67"/>
        <v>0</v>
      </c>
      <c r="AD93" s="44">
        <f t="shared" si="68"/>
        <v>0</v>
      </c>
      <c r="AE93" s="45">
        <f t="shared" si="69"/>
        <v>0</v>
      </c>
      <c r="AF93" s="186"/>
      <c r="AG93" s="322"/>
      <c r="AH93" s="137">
        <f>IFERROR((SUM(T93:T99)/COUNTIF(T93:T99,"&gt;0")),0)</f>
        <v>5.0166666666666666</v>
      </c>
      <c r="AI93" s="140">
        <f t="shared" ref="AI93:AS93" si="81">IFERROR((SUM(U93:U99)/COUNTIF(U93:U99,"&gt;0")),0)</f>
        <v>4.8888888888888893</v>
      </c>
      <c r="AJ93" s="140">
        <f t="shared" si="81"/>
        <v>9.6999999999999993</v>
      </c>
      <c r="AK93" s="140">
        <f t="shared" si="81"/>
        <v>7.375</v>
      </c>
      <c r="AL93" s="140">
        <f t="shared" si="81"/>
        <v>11.520833333333334</v>
      </c>
      <c r="AM93" s="140">
        <f t="shared" si="81"/>
        <v>9.2916666666666679</v>
      </c>
      <c r="AN93" s="140">
        <f t="shared" si="81"/>
        <v>12.041666666666664</v>
      </c>
      <c r="AO93" s="140">
        <f t="shared" si="81"/>
        <v>0</v>
      </c>
      <c r="AP93" s="140">
        <f t="shared" si="81"/>
        <v>0</v>
      </c>
      <c r="AQ93" s="140">
        <f t="shared" si="81"/>
        <v>0</v>
      </c>
      <c r="AR93" s="140">
        <f t="shared" si="81"/>
        <v>0</v>
      </c>
      <c r="AS93" s="143">
        <f t="shared" si="81"/>
        <v>0</v>
      </c>
      <c r="AT93" s="235">
        <v>2882</v>
      </c>
      <c r="AU93" s="221">
        <v>2905</v>
      </c>
      <c r="AV93" s="221">
        <v>2867</v>
      </c>
      <c r="AW93" s="221">
        <v>2862</v>
      </c>
      <c r="AX93" s="221">
        <v>2845</v>
      </c>
      <c r="AY93" s="221">
        <v>2862</v>
      </c>
      <c r="AZ93" s="221">
        <v>2886</v>
      </c>
      <c r="BA93" s="221"/>
      <c r="BB93" s="221"/>
      <c r="BC93" s="221"/>
      <c r="BD93" s="221"/>
      <c r="BE93" s="223"/>
      <c r="BF93" s="137">
        <f t="shared" ref="BF93:BK93" si="82">IFERROR((((AH93*AT93)+(AH100*AT100)+(AH107*AT107))/SUM(AT93:AT113)),0)</f>
        <v>9.0940151399685014</v>
      </c>
      <c r="BG93" s="140">
        <f t="shared" si="82"/>
        <v>8.8966543209876541</v>
      </c>
      <c r="BH93" s="140">
        <f t="shared" si="82"/>
        <v>11.154429314565482</v>
      </c>
      <c r="BI93" s="140">
        <f t="shared" si="82"/>
        <v>8.3034778663804119</v>
      </c>
      <c r="BJ93" s="140">
        <f t="shared" si="82"/>
        <v>12.050833719314497</v>
      </c>
      <c r="BK93" s="140">
        <f t="shared" si="82"/>
        <v>11.753554411312635</v>
      </c>
      <c r="BL93" s="140">
        <f t="shared" ref="BL93:BP93" si="83">IFERROR((((AN93*AZ93)+(AN100*AZ100)+(AN107*AZ107))/SUM(AZ93:AZ113)),0)</f>
        <v>15.561113643269524</v>
      </c>
      <c r="BM93" s="140">
        <f t="shared" si="83"/>
        <v>0</v>
      </c>
      <c r="BN93" s="140">
        <f t="shared" si="83"/>
        <v>0</v>
      </c>
      <c r="BO93" s="140">
        <f t="shared" si="83"/>
        <v>0</v>
      </c>
      <c r="BP93" s="140">
        <f t="shared" si="83"/>
        <v>0</v>
      </c>
      <c r="BQ93" s="143">
        <f>IFERROR((((AS93*BE93)+(AS100*BE100)+(AS107*BE107))/SUM(BE93:BE113)),0)</f>
        <v>0</v>
      </c>
      <c r="BR93" s="264">
        <f>SUM(AT93:AT113)</f>
        <v>6561</v>
      </c>
      <c r="BS93" s="264">
        <f t="shared" ref="BS93:CC93" si="84">SUM(AU93:AU113)</f>
        <v>6525</v>
      </c>
      <c r="BT93" s="264">
        <f t="shared" si="84"/>
        <v>6536</v>
      </c>
      <c r="BU93" s="264">
        <f t="shared" si="84"/>
        <v>6521</v>
      </c>
      <c r="BV93" s="264">
        <f t="shared" si="84"/>
        <v>6477</v>
      </c>
      <c r="BW93" s="264">
        <f t="shared" si="84"/>
        <v>6506</v>
      </c>
      <c r="BX93" s="264">
        <f t="shared" si="84"/>
        <v>6582</v>
      </c>
      <c r="BY93" s="264">
        <f t="shared" si="84"/>
        <v>0</v>
      </c>
      <c r="BZ93" s="264">
        <f t="shared" si="84"/>
        <v>0</v>
      </c>
      <c r="CA93" s="264">
        <f t="shared" si="84"/>
        <v>0</v>
      </c>
      <c r="CB93" s="264">
        <f t="shared" si="84"/>
        <v>0</v>
      </c>
      <c r="CC93" s="266">
        <f t="shared" si="84"/>
        <v>0</v>
      </c>
      <c r="CD93" s="252">
        <f>IFERROR(((BF93*BR93)+(BG93*BS93)+(BH93*BT93)+(BI93*BU93)+(BJ93*BV93)+(BK93*BW93)+(BL93*BX93)+(BM93*BY93)+(BN93*BZ93)+(BO93*CA93)+(BP93*CB93)+(BQ93*CC93))/SUM(BR93:CC113),0)</f>
        <v>10.976502077195336</v>
      </c>
      <c r="CE93" s="179">
        <f>CD93</f>
        <v>10.976502077195336</v>
      </c>
      <c r="CF93" s="156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62"/>
      <c r="CR93" s="120"/>
      <c r="CS93" s="120"/>
      <c r="CT93" s="120"/>
      <c r="CU93" s="120"/>
      <c r="CV93" s="120"/>
      <c r="CW93" s="120"/>
      <c r="CX93" s="120"/>
      <c r="CY93" s="120"/>
      <c r="CZ93" s="120"/>
      <c r="DA93" s="120"/>
      <c r="DB93" s="120"/>
      <c r="DC93" s="120"/>
      <c r="DD93" s="123"/>
      <c r="DE93" s="138"/>
      <c r="DF93" s="141"/>
      <c r="DG93" s="141"/>
      <c r="DH93" s="141"/>
      <c r="DI93" s="141"/>
      <c r="DJ93" s="141"/>
      <c r="DK93" s="141"/>
      <c r="DL93" s="141"/>
      <c r="DM93" s="141"/>
      <c r="DN93" s="141"/>
      <c r="DO93" s="141"/>
      <c r="DP93" s="144"/>
      <c r="DQ93" s="106"/>
      <c r="DR93" s="106"/>
      <c r="DS93" s="106"/>
      <c r="DT93" s="106"/>
      <c r="DU93" s="106"/>
      <c r="DV93" s="106"/>
      <c r="DW93" s="106"/>
      <c r="DX93" s="106"/>
      <c r="DY93" s="106"/>
      <c r="DZ93" s="106"/>
      <c r="EA93" s="106"/>
      <c r="EB93" s="109"/>
      <c r="EC93" s="132"/>
      <c r="EE93" s="114"/>
      <c r="EF93" s="117"/>
    </row>
    <row r="94" spans="1:136" ht="20.25" customHeight="1">
      <c r="A94" s="128"/>
      <c r="B94" s="254"/>
      <c r="C94" s="269"/>
      <c r="D94" s="272"/>
      <c r="E94" s="237"/>
      <c r="F94" s="2" t="s">
        <v>203</v>
      </c>
      <c r="G94" s="3" t="s">
        <v>223</v>
      </c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7"/>
      <c r="T94" s="48">
        <f t="shared" si="63"/>
        <v>0</v>
      </c>
      <c r="U94" s="49">
        <f t="shared" si="70"/>
        <v>0</v>
      </c>
      <c r="V94" s="49">
        <f t="shared" si="70"/>
        <v>0</v>
      </c>
      <c r="W94" s="49">
        <f t="shared" si="70"/>
        <v>0</v>
      </c>
      <c r="X94" s="49">
        <f t="shared" si="70"/>
        <v>0</v>
      </c>
      <c r="Y94" s="49">
        <f t="shared" si="70"/>
        <v>0</v>
      </c>
      <c r="Z94" s="49">
        <f t="shared" si="65"/>
        <v>0</v>
      </c>
      <c r="AA94" s="49">
        <f t="shared" si="65"/>
        <v>0</v>
      </c>
      <c r="AB94" s="49">
        <f t="shared" si="66"/>
        <v>0</v>
      </c>
      <c r="AC94" s="49">
        <f t="shared" si="67"/>
        <v>0</v>
      </c>
      <c r="AD94" s="49">
        <f t="shared" si="68"/>
        <v>0</v>
      </c>
      <c r="AE94" s="50">
        <f t="shared" si="69"/>
        <v>0</v>
      </c>
      <c r="AF94" s="186"/>
      <c r="AG94" s="322"/>
      <c r="AH94" s="138"/>
      <c r="AI94" s="141"/>
      <c r="AJ94" s="141"/>
      <c r="AK94" s="141"/>
      <c r="AL94" s="141"/>
      <c r="AM94" s="141"/>
      <c r="AN94" s="141"/>
      <c r="AO94" s="141"/>
      <c r="AP94" s="141"/>
      <c r="AQ94" s="141"/>
      <c r="AR94" s="141"/>
      <c r="AS94" s="144"/>
      <c r="AT94" s="23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4"/>
      <c r="BF94" s="138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5"/>
      <c r="CD94" s="202"/>
      <c r="CE94" s="180"/>
      <c r="CF94" s="156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62"/>
      <c r="CR94" s="120"/>
      <c r="CS94" s="120"/>
      <c r="CT94" s="120"/>
      <c r="CU94" s="120"/>
      <c r="CV94" s="120"/>
      <c r="CW94" s="120"/>
      <c r="CX94" s="120"/>
      <c r="CY94" s="120"/>
      <c r="CZ94" s="120"/>
      <c r="DA94" s="120"/>
      <c r="DB94" s="120"/>
      <c r="DC94" s="120"/>
      <c r="DD94" s="123"/>
      <c r="DE94" s="138"/>
      <c r="DF94" s="141"/>
      <c r="DG94" s="141"/>
      <c r="DH94" s="141"/>
      <c r="DI94" s="141"/>
      <c r="DJ94" s="141"/>
      <c r="DK94" s="141"/>
      <c r="DL94" s="141"/>
      <c r="DM94" s="141"/>
      <c r="DN94" s="141"/>
      <c r="DO94" s="141"/>
      <c r="DP94" s="144"/>
      <c r="DQ94" s="106"/>
      <c r="DR94" s="106"/>
      <c r="DS94" s="106"/>
      <c r="DT94" s="106"/>
      <c r="DU94" s="106"/>
      <c r="DV94" s="106"/>
      <c r="DW94" s="106"/>
      <c r="DX94" s="106"/>
      <c r="DY94" s="106"/>
      <c r="DZ94" s="106"/>
      <c r="EA94" s="106"/>
      <c r="EB94" s="109"/>
      <c r="EC94" s="132"/>
      <c r="EE94" s="114"/>
      <c r="EF94" s="117"/>
    </row>
    <row r="95" spans="1:136" ht="20.25" customHeight="1">
      <c r="A95" s="128"/>
      <c r="B95" s="254"/>
      <c r="C95" s="269"/>
      <c r="D95" s="272"/>
      <c r="E95" s="237"/>
      <c r="F95" s="2" t="s">
        <v>204</v>
      </c>
      <c r="G95" s="3" t="s">
        <v>224</v>
      </c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7"/>
      <c r="T95" s="48">
        <f t="shared" si="63"/>
        <v>0</v>
      </c>
      <c r="U95" s="49">
        <f t="shared" si="70"/>
        <v>0</v>
      </c>
      <c r="V95" s="49">
        <f t="shared" si="70"/>
        <v>0</v>
      </c>
      <c r="W95" s="49">
        <f t="shared" si="70"/>
        <v>0</v>
      </c>
      <c r="X95" s="49">
        <f t="shared" si="70"/>
        <v>0</v>
      </c>
      <c r="Y95" s="49">
        <f t="shared" si="70"/>
        <v>0</v>
      </c>
      <c r="Z95" s="49">
        <f t="shared" si="65"/>
        <v>0</v>
      </c>
      <c r="AA95" s="49">
        <f t="shared" si="65"/>
        <v>0</v>
      </c>
      <c r="AB95" s="49">
        <f t="shared" si="66"/>
        <v>0</v>
      </c>
      <c r="AC95" s="49">
        <f t="shared" si="67"/>
        <v>0</v>
      </c>
      <c r="AD95" s="49">
        <f t="shared" si="68"/>
        <v>0</v>
      </c>
      <c r="AE95" s="50">
        <f t="shared" si="69"/>
        <v>0</v>
      </c>
      <c r="AF95" s="186"/>
      <c r="AG95" s="322"/>
      <c r="AH95" s="138"/>
      <c r="AI95" s="141"/>
      <c r="AJ95" s="141"/>
      <c r="AK95" s="141"/>
      <c r="AL95" s="141"/>
      <c r="AM95" s="141"/>
      <c r="AN95" s="141"/>
      <c r="AO95" s="141"/>
      <c r="AP95" s="141"/>
      <c r="AQ95" s="141"/>
      <c r="AR95" s="141"/>
      <c r="AS95" s="144"/>
      <c r="AT95" s="23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4"/>
      <c r="BF95" s="138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5"/>
      <c r="CD95" s="202"/>
      <c r="CE95" s="180"/>
      <c r="CF95" s="156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62"/>
      <c r="CR95" s="120"/>
      <c r="CS95" s="120"/>
      <c r="CT95" s="120"/>
      <c r="CU95" s="120"/>
      <c r="CV95" s="120"/>
      <c r="CW95" s="120"/>
      <c r="CX95" s="120"/>
      <c r="CY95" s="120"/>
      <c r="CZ95" s="120"/>
      <c r="DA95" s="120"/>
      <c r="DB95" s="120"/>
      <c r="DC95" s="120"/>
      <c r="DD95" s="123"/>
      <c r="DE95" s="138"/>
      <c r="DF95" s="141"/>
      <c r="DG95" s="141"/>
      <c r="DH95" s="141"/>
      <c r="DI95" s="141"/>
      <c r="DJ95" s="141"/>
      <c r="DK95" s="141"/>
      <c r="DL95" s="141"/>
      <c r="DM95" s="141"/>
      <c r="DN95" s="141"/>
      <c r="DO95" s="141"/>
      <c r="DP95" s="144"/>
      <c r="DQ95" s="106"/>
      <c r="DR95" s="106"/>
      <c r="DS95" s="106"/>
      <c r="DT95" s="106"/>
      <c r="DU95" s="106"/>
      <c r="DV95" s="106"/>
      <c r="DW95" s="106"/>
      <c r="DX95" s="106"/>
      <c r="DY95" s="106"/>
      <c r="DZ95" s="106"/>
      <c r="EA95" s="106"/>
      <c r="EB95" s="109"/>
      <c r="EC95" s="132"/>
      <c r="EE95" s="114"/>
      <c r="EF95" s="117"/>
    </row>
    <row r="96" spans="1:136" ht="20.25" customHeight="1">
      <c r="A96" s="128"/>
      <c r="B96" s="254"/>
      <c r="C96" s="269"/>
      <c r="D96" s="272"/>
      <c r="E96" s="237"/>
      <c r="F96" s="2" t="s">
        <v>205</v>
      </c>
      <c r="G96" s="3" t="s">
        <v>225</v>
      </c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7"/>
      <c r="T96" s="48">
        <f t="shared" si="63"/>
        <v>0</v>
      </c>
      <c r="U96" s="49">
        <f t="shared" si="70"/>
        <v>0</v>
      </c>
      <c r="V96" s="49">
        <f t="shared" si="70"/>
        <v>0</v>
      </c>
      <c r="W96" s="49">
        <f t="shared" si="70"/>
        <v>0</v>
      </c>
      <c r="X96" s="49">
        <f t="shared" si="70"/>
        <v>0</v>
      </c>
      <c r="Y96" s="49">
        <f t="shared" si="70"/>
        <v>0</v>
      </c>
      <c r="Z96" s="49">
        <f t="shared" si="65"/>
        <v>0</v>
      </c>
      <c r="AA96" s="49">
        <f t="shared" si="65"/>
        <v>0</v>
      </c>
      <c r="AB96" s="49">
        <f t="shared" si="66"/>
        <v>0</v>
      </c>
      <c r="AC96" s="49">
        <f t="shared" si="67"/>
        <v>0</v>
      </c>
      <c r="AD96" s="49">
        <f t="shared" si="68"/>
        <v>0</v>
      </c>
      <c r="AE96" s="50">
        <f t="shared" si="69"/>
        <v>0</v>
      </c>
      <c r="AF96" s="186"/>
      <c r="AG96" s="322"/>
      <c r="AH96" s="138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4"/>
      <c r="AT96" s="23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4"/>
      <c r="BF96" s="138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4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5"/>
      <c r="CD96" s="202"/>
      <c r="CE96" s="180"/>
      <c r="CF96" s="156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62"/>
      <c r="CR96" s="120"/>
      <c r="CS96" s="120"/>
      <c r="CT96" s="120"/>
      <c r="CU96" s="120"/>
      <c r="CV96" s="120"/>
      <c r="CW96" s="120"/>
      <c r="CX96" s="120"/>
      <c r="CY96" s="120"/>
      <c r="CZ96" s="120"/>
      <c r="DA96" s="120"/>
      <c r="DB96" s="120"/>
      <c r="DC96" s="120"/>
      <c r="DD96" s="123"/>
      <c r="DE96" s="138"/>
      <c r="DF96" s="141"/>
      <c r="DG96" s="141"/>
      <c r="DH96" s="141"/>
      <c r="DI96" s="141"/>
      <c r="DJ96" s="141"/>
      <c r="DK96" s="141"/>
      <c r="DL96" s="141"/>
      <c r="DM96" s="141"/>
      <c r="DN96" s="141"/>
      <c r="DO96" s="141"/>
      <c r="DP96" s="144"/>
      <c r="DQ96" s="106"/>
      <c r="DR96" s="106"/>
      <c r="DS96" s="106"/>
      <c r="DT96" s="106"/>
      <c r="DU96" s="106"/>
      <c r="DV96" s="106"/>
      <c r="DW96" s="106"/>
      <c r="DX96" s="106"/>
      <c r="DY96" s="106"/>
      <c r="DZ96" s="106"/>
      <c r="EA96" s="106"/>
      <c r="EB96" s="109"/>
      <c r="EC96" s="132"/>
      <c r="EE96" s="114"/>
      <c r="EF96" s="117"/>
    </row>
    <row r="97" spans="1:136" ht="20.25" customHeight="1">
      <c r="A97" s="128"/>
      <c r="B97" s="254"/>
      <c r="C97" s="269"/>
      <c r="D97" s="272"/>
      <c r="E97" s="237"/>
      <c r="F97" s="76" t="s">
        <v>271</v>
      </c>
      <c r="G97" s="77" t="s">
        <v>275</v>
      </c>
      <c r="H97" s="46">
        <v>0.20902777777777778</v>
      </c>
      <c r="I97" s="46">
        <v>0.20370370370370372</v>
      </c>
      <c r="J97" s="46">
        <v>0.40416666666666662</v>
      </c>
      <c r="K97" s="46">
        <v>0.30729166666666669</v>
      </c>
      <c r="L97" s="46">
        <v>0.48003472222222227</v>
      </c>
      <c r="M97" s="46">
        <v>0.38715277777777779</v>
      </c>
      <c r="N97" s="46">
        <v>0.50173611111111105</v>
      </c>
      <c r="O97" s="46"/>
      <c r="P97" s="46"/>
      <c r="Q97" s="46"/>
      <c r="R97" s="46"/>
      <c r="S97" s="47"/>
      <c r="T97" s="48">
        <f t="shared" si="63"/>
        <v>5.0166666666666666</v>
      </c>
      <c r="U97" s="49">
        <f t="shared" si="70"/>
        <v>4.8888888888888893</v>
      </c>
      <c r="V97" s="49">
        <f t="shared" si="70"/>
        <v>9.6999999999999993</v>
      </c>
      <c r="W97" s="49">
        <f t="shared" si="70"/>
        <v>7.375</v>
      </c>
      <c r="X97" s="49">
        <f t="shared" si="70"/>
        <v>11.520833333333334</v>
      </c>
      <c r="Y97" s="49">
        <f t="shared" si="70"/>
        <v>9.2916666666666679</v>
      </c>
      <c r="Z97" s="49">
        <f t="shared" si="65"/>
        <v>12.041666666666664</v>
      </c>
      <c r="AA97" s="49">
        <f t="shared" si="65"/>
        <v>0</v>
      </c>
      <c r="AB97" s="49">
        <f t="shared" si="66"/>
        <v>0</v>
      </c>
      <c r="AC97" s="49">
        <f t="shared" si="67"/>
        <v>0</v>
      </c>
      <c r="AD97" s="49">
        <f t="shared" si="68"/>
        <v>0</v>
      </c>
      <c r="AE97" s="50">
        <f t="shared" si="69"/>
        <v>0</v>
      </c>
      <c r="AF97" s="186"/>
      <c r="AG97" s="322"/>
      <c r="AH97" s="138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4"/>
      <c r="AT97" s="23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4"/>
      <c r="BF97" s="138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5"/>
      <c r="CD97" s="202"/>
      <c r="CE97" s="180"/>
      <c r="CF97" s="156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62"/>
      <c r="CR97" s="120"/>
      <c r="CS97" s="120"/>
      <c r="CT97" s="120"/>
      <c r="CU97" s="120"/>
      <c r="CV97" s="120"/>
      <c r="CW97" s="120"/>
      <c r="CX97" s="120"/>
      <c r="CY97" s="120"/>
      <c r="CZ97" s="120"/>
      <c r="DA97" s="120"/>
      <c r="DB97" s="120"/>
      <c r="DC97" s="120"/>
      <c r="DD97" s="123"/>
      <c r="DE97" s="138"/>
      <c r="DF97" s="141"/>
      <c r="DG97" s="141"/>
      <c r="DH97" s="141"/>
      <c r="DI97" s="141"/>
      <c r="DJ97" s="141"/>
      <c r="DK97" s="141"/>
      <c r="DL97" s="141"/>
      <c r="DM97" s="141"/>
      <c r="DN97" s="141"/>
      <c r="DO97" s="141"/>
      <c r="DP97" s="144"/>
      <c r="DQ97" s="106"/>
      <c r="DR97" s="106"/>
      <c r="DS97" s="106"/>
      <c r="DT97" s="106"/>
      <c r="DU97" s="106"/>
      <c r="DV97" s="106"/>
      <c r="DW97" s="106"/>
      <c r="DX97" s="106"/>
      <c r="DY97" s="106"/>
      <c r="DZ97" s="106"/>
      <c r="EA97" s="106"/>
      <c r="EB97" s="109"/>
      <c r="EC97" s="132"/>
      <c r="EE97" s="114"/>
      <c r="EF97" s="117"/>
    </row>
    <row r="98" spans="1:136" ht="20.25" customHeight="1">
      <c r="A98" s="128"/>
      <c r="B98" s="254"/>
      <c r="C98" s="269"/>
      <c r="D98" s="272"/>
      <c r="E98" s="237"/>
      <c r="F98" s="2" t="s">
        <v>206</v>
      </c>
      <c r="G98" s="3" t="s">
        <v>226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7"/>
      <c r="T98" s="48">
        <f t="shared" si="63"/>
        <v>0</v>
      </c>
      <c r="U98" s="49">
        <f t="shared" si="70"/>
        <v>0</v>
      </c>
      <c r="V98" s="49">
        <f t="shared" si="70"/>
        <v>0</v>
      </c>
      <c r="W98" s="49">
        <f t="shared" si="70"/>
        <v>0</v>
      </c>
      <c r="X98" s="49">
        <f t="shared" si="70"/>
        <v>0</v>
      </c>
      <c r="Y98" s="49">
        <f t="shared" si="70"/>
        <v>0</v>
      </c>
      <c r="Z98" s="49">
        <f t="shared" si="65"/>
        <v>0</v>
      </c>
      <c r="AA98" s="49">
        <f t="shared" si="65"/>
        <v>0</v>
      </c>
      <c r="AB98" s="49">
        <f t="shared" si="66"/>
        <v>0</v>
      </c>
      <c r="AC98" s="49">
        <f t="shared" si="67"/>
        <v>0</v>
      </c>
      <c r="AD98" s="49">
        <f t="shared" si="68"/>
        <v>0</v>
      </c>
      <c r="AE98" s="50">
        <f t="shared" si="69"/>
        <v>0</v>
      </c>
      <c r="AF98" s="186"/>
      <c r="AG98" s="322"/>
      <c r="AH98" s="138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4"/>
      <c r="AT98" s="23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4"/>
      <c r="BF98" s="138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5"/>
      <c r="CD98" s="202"/>
      <c r="CE98" s="180"/>
      <c r="CF98" s="156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62"/>
      <c r="CR98" s="120"/>
      <c r="CS98" s="120"/>
      <c r="CT98" s="120"/>
      <c r="CU98" s="120"/>
      <c r="CV98" s="120"/>
      <c r="CW98" s="120"/>
      <c r="CX98" s="120"/>
      <c r="CY98" s="120"/>
      <c r="CZ98" s="120"/>
      <c r="DA98" s="120"/>
      <c r="DB98" s="120"/>
      <c r="DC98" s="120"/>
      <c r="DD98" s="123"/>
      <c r="DE98" s="138"/>
      <c r="DF98" s="141"/>
      <c r="DG98" s="141"/>
      <c r="DH98" s="141"/>
      <c r="DI98" s="141"/>
      <c r="DJ98" s="141"/>
      <c r="DK98" s="141"/>
      <c r="DL98" s="141"/>
      <c r="DM98" s="141"/>
      <c r="DN98" s="141"/>
      <c r="DO98" s="141"/>
      <c r="DP98" s="144"/>
      <c r="DQ98" s="106"/>
      <c r="DR98" s="106"/>
      <c r="DS98" s="106"/>
      <c r="DT98" s="106"/>
      <c r="DU98" s="106"/>
      <c r="DV98" s="106"/>
      <c r="DW98" s="106"/>
      <c r="DX98" s="106"/>
      <c r="DY98" s="106"/>
      <c r="DZ98" s="106"/>
      <c r="EA98" s="106"/>
      <c r="EB98" s="109"/>
      <c r="EC98" s="132"/>
      <c r="EE98" s="114"/>
      <c r="EF98" s="117"/>
    </row>
    <row r="99" spans="1:136" ht="20.25" customHeight="1">
      <c r="A99" s="128"/>
      <c r="B99" s="254"/>
      <c r="C99" s="269"/>
      <c r="D99" s="272"/>
      <c r="E99" s="238"/>
      <c r="F99" s="2" t="s">
        <v>207</v>
      </c>
      <c r="G99" s="3" t="s">
        <v>227</v>
      </c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7"/>
      <c r="T99" s="48">
        <f t="shared" si="63"/>
        <v>0</v>
      </c>
      <c r="U99" s="49">
        <f t="shared" si="70"/>
        <v>0</v>
      </c>
      <c r="V99" s="49">
        <f t="shared" si="70"/>
        <v>0</v>
      </c>
      <c r="W99" s="49">
        <f t="shared" si="70"/>
        <v>0</v>
      </c>
      <c r="X99" s="49">
        <f t="shared" si="70"/>
        <v>0</v>
      </c>
      <c r="Y99" s="49">
        <f t="shared" si="70"/>
        <v>0</v>
      </c>
      <c r="Z99" s="49">
        <f t="shared" si="65"/>
        <v>0</v>
      </c>
      <c r="AA99" s="49">
        <f t="shared" si="65"/>
        <v>0</v>
      </c>
      <c r="AB99" s="49">
        <f t="shared" si="66"/>
        <v>0</v>
      </c>
      <c r="AC99" s="49">
        <f t="shared" si="67"/>
        <v>0</v>
      </c>
      <c r="AD99" s="49">
        <f t="shared" si="68"/>
        <v>0</v>
      </c>
      <c r="AE99" s="50">
        <f t="shared" si="69"/>
        <v>0</v>
      </c>
      <c r="AF99" s="186"/>
      <c r="AG99" s="322"/>
      <c r="AH99" s="138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4"/>
      <c r="AT99" s="234"/>
      <c r="AU99" s="220"/>
      <c r="AV99" s="220"/>
      <c r="AW99" s="220"/>
      <c r="AX99" s="220"/>
      <c r="AY99" s="220"/>
      <c r="AZ99" s="220"/>
      <c r="BA99" s="220"/>
      <c r="BB99" s="220"/>
      <c r="BC99" s="220"/>
      <c r="BD99" s="220"/>
      <c r="BE99" s="225"/>
      <c r="BF99" s="138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5"/>
      <c r="CD99" s="202"/>
      <c r="CE99" s="180"/>
      <c r="CF99" s="156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62"/>
      <c r="CR99" s="120"/>
      <c r="CS99" s="120"/>
      <c r="CT99" s="120"/>
      <c r="CU99" s="120"/>
      <c r="CV99" s="120"/>
      <c r="CW99" s="120"/>
      <c r="CX99" s="120"/>
      <c r="CY99" s="120"/>
      <c r="CZ99" s="120"/>
      <c r="DA99" s="120"/>
      <c r="DB99" s="120"/>
      <c r="DC99" s="120"/>
      <c r="DD99" s="123"/>
      <c r="DE99" s="138"/>
      <c r="DF99" s="141"/>
      <c r="DG99" s="141"/>
      <c r="DH99" s="141"/>
      <c r="DI99" s="141"/>
      <c r="DJ99" s="141"/>
      <c r="DK99" s="141"/>
      <c r="DL99" s="141"/>
      <c r="DM99" s="141"/>
      <c r="DN99" s="141"/>
      <c r="DO99" s="141"/>
      <c r="DP99" s="144"/>
      <c r="DQ99" s="106"/>
      <c r="DR99" s="106"/>
      <c r="DS99" s="106"/>
      <c r="DT99" s="106"/>
      <c r="DU99" s="106"/>
      <c r="DV99" s="106"/>
      <c r="DW99" s="106"/>
      <c r="DX99" s="106"/>
      <c r="DY99" s="106"/>
      <c r="DZ99" s="106"/>
      <c r="EA99" s="106"/>
      <c r="EB99" s="109"/>
      <c r="EC99" s="132"/>
      <c r="EE99" s="114"/>
      <c r="EF99" s="117"/>
    </row>
    <row r="100" spans="1:136" ht="20.25" customHeight="1">
      <c r="A100" s="128"/>
      <c r="B100" s="254"/>
      <c r="C100" s="269"/>
      <c r="D100" s="272"/>
      <c r="E100" s="239" t="s">
        <v>5</v>
      </c>
      <c r="F100" s="2" t="s">
        <v>208</v>
      </c>
      <c r="G100" s="3" t="s">
        <v>228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7"/>
      <c r="T100" s="48">
        <f t="shared" si="63"/>
        <v>0</v>
      </c>
      <c r="U100" s="49">
        <f t="shared" si="70"/>
        <v>0</v>
      </c>
      <c r="V100" s="49">
        <f t="shared" si="70"/>
        <v>0</v>
      </c>
      <c r="W100" s="49">
        <f t="shared" si="70"/>
        <v>0</v>
      </c>
      <c r="X100" s="49">
        <f t="shared" si="70"/>
        <v>0</v>
      </c>
      <c r="Y100" s="49">
        <f t="shared" si="70"/>
        <v>0</v>
      </c>
      <c r="Z100" s="49">
        <f t="shared" si="65"/>
        <v>0</v>
      </c>
      <c r="AA100" s="49">
        <f t="shared" si="65"/>
        <v>0</v>
      </c>
      <c r="AB100" s="49">
        <f t="shared" si="66"/>
        <v>0</v>
      </c>
      <c r="AC100" s="49">
        <f t="shared" si="67"/>
        <v>0</v>
      </c>
      <c r="AD100" s="49">
        <f t="shared" si="68"/>
        <v>0</v>
      </c>
      <c r="AE100" s="50">
        <f t="shared" si="69"/>
        <v>0</v>
      </c>
      <c r="AF100" s="186"/>
      <c r="AG100" s="322"/>
      <c r="AH100" s="138">
        <f>IFERROR((SUM(T100:T106)/COUNTIF(T100:T106,"&gt;0")),0)</f>
        <v>8.7999999999999989</v>
      </c>
      <c r="AI100" s="141">
        <f t="shared" ref="AI100:AS100" si="85">IFERROR((SUM(U100:U106)/COUNTIF(U100:U106,"&gt;0")),0)</f>
        <v>9.5352777777777771</v>
      </c>
      <c r="AJ100" s="141">
        <f t="shared" si="85"/>
        <v>11.383333333333333</v>
      </c>
      <c r="AK100" s="141">
        <f t="shared" si="85"/>
        <v>8.5625</v>
      </c>
      <c r="AL100" s="141">
        <f t="shared" si="85"/>
        <v>12.145833333333336</v>
      </c>
      <c r="AM100" s="141">
        <f t="shared" si="85"/>
        <v>10.861111111111111</v>
      </c>
      <c r="AN100" s="141">
        <f t="shared" si="85"/>
        <v>17.666666666666668</v>
      </c>
      <c r="AO100" s="141">
        <f t="shared" si="85"/>
        <v>0</v>
      </c>
      <c r="AP100" s="141">
        <f t="shared" si="85"/>
        <v>0</v>
      </c>
      <c r="AQ100" s="141">
        <f t="shared" si="85"/>
        <v>0</v>
      </c>
      <c r="AR100" s="141">
        <f t="shared" si="85"/>
        <v>0</v>
      </c>
      <c r="AS100" s="144">
        <f t="shared" si="85"/>
        <v>0</v>
      </c>
      <c r="AT100" s="231">
        <v>2758</v>
      </c>
      <c r="AU100" s="219">
        <v>2690</v>
      </c>
      <c r="AV100" s="219">
        <v>2744</v>
      </c>
      <c r="AW100" s="219">
        <v>2737</v>
      </c>
      <c r="AX100" s="219">
        <v>2717</v>
      </c>
      <c r="AY100" s="219">
        <v>2709</v>
      </c>
      <c r="AZ100" s="219">
        <v>2746</v>
      </c>
      <c r="BA100" s="219"/>
      <c r="BB100" s="219"/>
      <c r="BC100" s="219"/>
      <c r="BD100" s="219"/>
      <c r="BE100" s="226"/>
      <c r="BF100" s="138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5"/>
      <c r="CD100" s="202"/>
      <c r="CE100" s="180"/>
      <c r="CF100" s="156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62"/>
      <c r="CR100" s="120"/>
      <c r="CS100" s="120"/>
      <c r="CT100" s="120"/>
      <c r="CU100" s="120"/>
      <c r="CV100" s="120"/>
      <c r="CW100" s="120"/>
      <c r="CX100" s="120"/>
      <c r="CY100" s="120"/>
      <c r="CZ100" s="120"/>
      <c r="DA100" s="120"/>
      <c r="DB100" s="120"/>
      <c r="DC100" s="120"/>
      <c r="DD100" s="123"/>
      <c r="DE100" s="138"/>
      <c r="DF100" s="141"/>
      <c r="DG100" s="141"/>
      <c r="DH100" s="141"/>
      <c r="DI100" s="141"/>
      <c r="DJ100" s="141"/>
      <c r="DK100" s="141"/>
      <c r="DL100" s="141"/>
      <c r="DM100" s="141"/>
      <c r="DN100" s="141"/>
      <c r="DO100" s="141"/>
      <c r="DP100" s="144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9"/>
      <c r="EC100" s="132"/>
      <c r="EE100" s="114"/>
      <c r="EF100" s="117"/>
    </row>
    <row r="101" spans="1:136" ht="20.25" customHeight="1">
      <c r="A101" s="128"/>
      <c r="B101" s="254"/>
      <c r="C101" s="269"/>
      <c r="D101" s="272"/>
      <c r="E101" s="240"/>
      <c r="F101" s="2" t="s">
        <v>209</v>
      </c>
      <c r="G101" s="3" t="s">
        <v>229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7"/>
      <c r="T101" s="48">
        <f t="shared" si="63"/>
        <v>0</v>
      </c>
      <c r="U101" s="91">
        <f t="shared" si="70"/>
        <v>0</v>
      </c>
      <c r="V101" s="49">
        <f t="shared" si="70"/>
        <v>0</v>
      </c>
      <c r="W101" s="49">
        <f t="shared" si="70"/>
        <v>0</v>
      </c>
      <c r="X101" s="49">
        <f t="shared" si="70"/>
        <v>0</v>
      </c>
      <c r="Y101" s="49">
        <f t="shared" si="70"/>
        <v>0</v>
      </c>
      <c r="Z101" s="49">
        <f t="shared" si="65"/>
        <v>0</v>
      </c>
      <c r="AA101" s="49">
        <f t="shared" si="65"/>
        <v>0</v>
      </c>
      <c r="AB101" s="49">
        <f t="shared" si="66"/>
        <v>0</v>
      </c>
      <c r="AC101" s="49">
        <f t="shared" si="67"/>
        <v>0</v>
      </c>
      <c r="AD101" s="49">
        <f t="shared" si="68"/>
        <v>0</v>
      </c>
      <c r="AE101" s="50">
        <f t="shared" si="69"/>
        <v>0</v>
      </c>
      <c r="AF101" s="186"/>
      <c r="AG101" s="322"/>
      <c r="AH101" s="138"/>
      <c r="AI101" s="141"/>
      <c r="AJ101" s="141"/>
      <c r="AK101" s="141"/>
      <c r="AL101" s="141"/>
      <c r="AM101" s="141"/>
      <c r="AN101" s="141"/>
      <c r="AO101" s="141"/>
      <c r="AP101" s="141"/>
      <c r="AQ101" s="141"/>
      <c r="AR101" s="141"/>
      <c r="AS101" s="144"/>
      <c r="AT101" s="23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4"/>
      <c r="BF101" s="138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5"/>
      <c r="CD101" s="202"/>
      <c r="CE101" s="180"/>
      <c r="CF101" s="156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62"/>
      <c r="CR101" s="120"/>
      <c r="CS101" s="120"/>
      <c r="CT101" s="120"/>
      <c r="CU101" s="120"/>
      <c r="CV101" s="120"/>
      <c r="CW101" s="120"/>
      <c r="CX101" s="120"/>
      <c r="CY101" s="120"/>
      <c r="CZ101" s="120"/>
      <c r="DA101" s="120"/>
      <c r="DB101" s="120"/>
      <c r="DC101" s="120"/>
      <c r="DD101" s="123"/>
      <c r="DE101" s="138"/>
      <c r="DF101" s="141"/>
      <c r="DG101" s="141"/>
      <c r="DH101" s="141"/>
      <c r="DI101" s="141"/>
      <c r="DJ101" s="141"/>
      <c r="DK101" s="141"/>
      <c r="DL101" s="141"/>
      <c r="DM101" s="141"/>
      <c r="DN101" s="141"/>
      <c r="DO101" s="141"/>
      <c r="DP101" s="144"/>
      <c r="DQ101" s="106"/>
      <c r="DR101" s="106"/>
      <c r="DS101" s="106"/>
      <c r="DT101" s="106"/>
      <c r="DU101" s="106"/>
      <c r="DV101" s="106"/>
      <c r="DW101" s="106"/>
      <c r="DX101" s="106"/>
      <c r="DY101" s="106"/>
      <c r="DZ101" s="106"/>
      <c r="EA101" s="106"/>
      <c r="EB101" s="109"/>
      <c r="EC101" s="132"/>
      <c r="EE101" s="114"/>
      <c r="EF101" s="117"/>
    </row>
    <row r="102" spans="1:136" ht="20.25" customHeight="1">
      <c r="A102" s="128"/>
      <c r="B102" s="254"/>
      <c r="C102" s="269"/>
      <c r="D102" s="272"/>
      <c r="E102" s="240"/>
      <c r="F102" s="101" t="s">
        <v>210</v>
      </c>
      <c r="G102" s="102" t="s">
        <v>230</v>
      </c>
      <c r="H102" s="46">
        <v>0.36666666666666664</v>
      </c>
      <c r="I102" s="46">
        <v>0.39730324074074069</v>
      </c>
      <c r="J102" s="46">
        <v>0.47430555555555554</v>
      </c>
      <c r="K102" s="46">
        <v>0.35677083333333331</v>
      </c>
      <c r="L102" s="46">
        <v>0.50607638888888895</v>
      </c>
      <c r="M102" s="46">
        <v>0.45254629629629628</v>
      </c>
      <c r="N102" s="46">
        <v>0.73611111111111116</v>
      </c>
      <c r="O102" s="46"/>
      <c r="P102" s="46"/>
      <c r="Q102" s="46"/>
      <c r="R102" s="46"/>
      <c r="S102" s="47"/>
      <c r="T102" s="48">
        <f t="shared" si="63"/>
        <v>8.7999999999999989</v>
      </c>
      <c r="U102" s="49">
        <f t="shared" si="70"/>
        <v>9.5352777777777771</v>
      </c>
      <c r="V102" s="49">
        <f t="shared" si="70"/>
        <v>11.383333333333333</v>
      </c>
      <c r="W102" s="49">
        <f t="shared" si="70"/>
        <v>8.5625</v>
      </c>
      <c r="X102" s="49">
        <f t="shared" si="70"/>
        <v>12.145833333333336</v>
      </c>
      <c r="Y102" s="49">
        <f t="shared" si="70"/>
        <v>10.861111111111111</v>
      </c>
      <c r="Z102" s="49">
        <f t="shared" si="65"/>
        <v>17.666666666666668</v>
      </c>
      <c r="AA102" s="49">
        <f t="shared" si="65"/>
        <v>0</v>
      </c>
      <c r="AB102" s="49">
        <f t="shared" si="66"/>
        <v>0</v>
      </c>
      <c r="AC102" s="49">
        <f t="shared" si="67"/>
        <v>0</v>
      </c>
      <c r="AD102" s="49">
        <f t="shared" si="68"/>
        <v>0</v>
      </c>
      <c r="AE102" s="50">
        <f t="shared" si="69"/>
        <v>0</v>
      </c>
      <c r="AF102" s="186"/>
      <c r="AG102" s="322"/>
      <c r="AH102" s="138"/>
      <c r="AI102" s="141"/>
      <c r="AJ102" s="141"/>
      <c r="AK102" s="141"/>
      <c r="AL102" s="141"/>
      <c r="AM102" s="141"/>
      <c r="AN102" s="141"/>
      <c r="AO102" s="141"/>
      <c r="AP102" s="141"/>
      <c r="AQ102" s="141"/>
      <c r="AR102" s="141"/>
      <c r="AS102" s="144"/>
      <c r="AT102" s="23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4"/>
      <c r="BF102" s="138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5"/>
      <c r="CD102" s="202"/>
      <c r="CE102" s="180"/>
      <c r="CF102" s="156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62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  <c r="DD102" s="123"/>
      <c r="DE102" s="138"/>
      <c r="DF102" s="141"/>
      <c r="DG102" s="141"/>
      <c r="DH102" s="141"/>
      <c r="DI102" s="141"/>
      <c r="DJ102" s="141"/>
      <c r="DK102" s="141"/>
      <c r="DL102" s="141"/>
      <c r="DM102" s="141"/>
      <c r="DN102" s="141"/>
      <c r="DO102" s="141"/>
      <c r="DP102" s="144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9"/>
      <c r="EC102" s="132"/>
      <c r="EE102" s="114"/>
      <c r="EF102" s="117"/>
    </row>
    <row r="103" spans="1:136" ht="20.25" customHeight="1">
      <c r="A103" s="128"/>
      <c r="B103" s="254"/>
      <c r="C103" s="269"/>
      <c r="D103" s="272"/>
      <c r="E103" s="240"/>
      <c r="F103" s="2" t="s">
        <v>211</v>
      </c>
      <c r="G103" s="3" t="s">
        <v>231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7"/>
      <c r="T103" s="48">
        <f t="shared" si="63"/>
        <v>0</v>
      </c>
      <c r="U103" s="49">
        <f t="shared" si="70"/>
        <v>0</v>
      </c>
      <c r="V103" s="49">
        <f t="shared" si="70"/>
        <v>0</v>
      </c>
      <c r="W103" s="49">
        <f t="shared" si="70"/>
        <v>0</v>
      </c>
      <c r="X103" s="49">
        <f t="shared" si="70"/>
        <v>0</v>
      </c>
      <c r="Y103" s="49">
        <f t="shared" si="70"/>
        <v>0</v>
      </c>
      <c r="Z103" s="49">
        <f t="shared" si="65"/>
        <v>0</v>
      </c>
      <c r="AA103" s="49">
        <f t="shared" si="65"/>
        <v>0</v>
      </c>
      <c r="AB103" s="49">
        <f t="shared" si="66"/>
        <v>0</v>
      </c>
      <c r="AC103" s="49">
        <f t="shared" si="67"/>
        <v>0</v>
      </c>
      <c r="AD103" s="49">
        <f t="shared" si="68"/>
        <v>0</v>
      </c>
      <c r="AE103" s="50">
        <f t="shared" si="69"/>
        <v>0</v>
      </c>
      <c r="AF103" s="186"/>
      <c r="AG103" s="322"/>
      <c r="AH103" s="138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4"/>
      <c r="AT103" s="23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4"/>
      <c r="BF103" s="138"/>
      <c r="BG103" s="141"/>
      <c r="BH103" s="141"/>
      <c r="BI103" s="141"/>
      <c r="BJ103" s="141"/>
      <c r="BK103" s="141"/>
      <c r="BL103" s="141"/>
      <c r="BM103" s="141"/>
      <c r="BN103" s="141"/>
      <c r="BO103" s="141"/>
      <c r="BP103" s="141"/>
      <c r="BQ103" s="14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5"/>
      <c r="CD103" s="202"/>
      <c r="CE103" s="180"/>
      <c r="CF103" s="156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62"/>
      <c r="CR103" s="120"/>
      <c r="CS103" s="120"/>
      <c r="CT103" s="120"/>
      <c r="CU103" s="120"/>
      <c r="CV103" s="120"/>
      <c r="CW103" s="120"/>
      <c r="CX103" s="120"/>
      <c r="CY103" s="120"/>
      <c r="CZ103" s="120"/>
      <c r="DA103" s="120"/>
      <c r="DB103" s="120"/>
      <c r="DC103" s="120"/>
      <c r="DD103" s="123"/>
      <c r="DE103" s="138"/>
      <c r="DF103" s="141"/>
      <c r="DG103" s="141"/>
      <c r="DH103" s="141"/>
      <c r="DI103" s="141"/>
      <c r="DJ103" s="141"/>
      <c r="DK103" s="141"/>
      <c r="DL103" s="141"/>
      <c r="DM103" s="141"/>
      <c r="DN103" s="141"/>
      <c r="DO103" s="141"/>
      <c r="DP103" s="144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9"/>
      <c r="EC103" s="132"/>
      <c r="EE103" s="114"/>
      <c r="EF103" s="117"/>
    </row>
    <row r="104" spans="1:136" ht="20.25" customHeight="1">
      <c r="A104" s="128"/>
      <c r="B104" s="254"/>
      <c r="C104" s="269"/>
      <c r="D104" s="272"/>
      <c r="E104" s="240"/>
      <c r="F104" s="2" t="s">
        <v>212</v>
      </c>
      <c r="G104" s="3" t="s">
        <v>232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7"/>
      <c r="T104" s="48">
        <f t="shared" si="63"/>
        <v>0</v>
      </c>
      <c r="U104" s="49">
        <f t="shared" si="70"/>
        <v>0</v>
      </c>
      <c r="V104" s="49">
        <f t="shared" si="70"/>
        <v>0</v>
      </c>
      <c r="W104" s="49">
        <f t="shared" si="70"/>
        <v>0</v>
      </c>
      <c r="X104" s="49">
        <f t="shared" si="70"/>
        <v>0</v>
      </c>
      <c r="Y104" s="49">
        <f t="shared" si="70"/>
        <v>0</v>
      </c>
      <c r="Z104" s="49">
        <f t="shared" si="65"/>
        <v>0</v>
      </c>
      <c r="AA104" s="49">
        <f t="shared" si="65"/>
        <v>0</v>
      </c>
      <c r="AB104" s="49">
        <f t="shared" si="66"/>
        <v>0</v>
      </c>
      <c r="AC104" s="49">
        <f t="shared" si="67"/>
        <v>0</v>
      </c>
      <c r="AD104" s="49">
        <f t="shared" si="68"/>
        <v>0</v>
      </c>
      <c r="AE104" s="50">
        <f t="shared" si="69"/>
        <v>0</v>
      </c>
      <c r="AF104" s="186"/>
      <c r="AG104" s="322"/>
      <c r="AH104" s="138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4"/>
      <c r="AT104" s="23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4"/>
      <c r="BF104" s="138"/>
      <c r="BG104" s="141"/>
      <c r="BH104" s="141"/>
      <c r="BI104" s="141"/>
      <c r="BJ104" s="141"/>
      <c r="BK104" s="141"/>
      <c r="BL104" s="141"/>
      <c r="BM104" s="141"/>
      <c r="BN104" s="141"/>
      <c r="BO104" s="141"/>
      <c r="BP104" s="141"/>
      <c r="BQ104" s="14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5"/>
      <c r="CD104" s="202"/>
      <c r="CE104" s="180"/>
      <c r="CF104" s="156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62"/>
      <c r="CR104" s="120"/>
      <c r="CS104" s="120"/>
      <c r="CT104" s="120"/>
      <c r="CU104" s="120"/>
      <c r="CV104" s="120"/>
      <c r="CW104" s="120"/>
      <c r="CX104" s="120"/>
      <c r="CY104" s="120"/>
      <c r="CZ104" s="120"/>
      <c r="DA104" s="120"/>
      <c r="DB104" s="120"/>
      <c r="DC104" s="120"/>
      <c r="DD104" s="123"/>
      <c r="DE104" s="138"/>
      <c r="DF104" s="141"/>
      <c r="DG104" s="141"/>
      <c r="DH104" s="141"/>
      <c r="DI104" s="141"/>
      <c r="DJ104" s="141"/>
      <c r="DK104" s="141"/>
      <c r="DL104" s="141"/>
      <c r="DM104" s="141"/>
      <c r="DN104" s="141"/>
      <c r="DO104" s="141"/>
      <c r="DP104" s="144"/>
      <c r="DQ104" s="106"/>
      <c r="DR104" s="106"/>
      <c r="DS104" s="106"/>
      <c r="DT104" s="106"/>
      <c r="DU104" s="106"/>
      <c r="DV104" s="106"/>
      <c r="DW104" s="106"/>
      <c r="DX104" s="106"/>
      <c r="DY104" s="106"/>
      <c r="DZ104" s="106"/>
      <c r="EA104" s="106"/>
      <c r="EB104" s="109"/>
      <c r="EC104" s="132"/>
      <c r="EE104" s="114"/>
      <c r="EF104" s="117"/>
    </row>
    <row r="105" spans="1:136" ht="20.25" customHeight="1">
      <c r="A105" s="128"/>
      <c r="B105" s="254"/>
      <c r="C105" s="269"/>
      <c r="D105" s="272"/>
      <c r="E105" s="240"/>
      <c r="F105" s="2" t="s">
        <v>213</v>
      </c>
      <c r="G105" s="3" t="s">
        <v>233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7"/>
      <c r="T105" s="48">
        <f t="shared" si="63"/>
        <v>0</v>
      </c>
      <c r="U105" s="49">
        <f t="shared" si="70"/>
        <v>0</v>
      </c>
      <c r="V105" s="49">
        <f t="shared" si="70"/>
        <v>0</v>
      </c>
      <c r="W105" s="49">
        <f t="shared" si="70"/>
        <v>0</v>
      </c>
      <c r="X105" s="49">
        <f t="shared" si="70"/>
        <v>0</v>
      </c>
      <c r="Y105" s="49">
        <f t="shared" si="70"/>
        <v>0</v>
      </c>
      <c r="Z105" s="49">
        <f t="shared" si="65"/>
        <v>0</v>
      </c>
      <c r="AA105" s="49">
        <f t="shared" si="65"/>
        <v>0</v>
      </c>
      <c r="AB105" s="49">
        <f t="shared" si="66"/>
        <v>0</v>
      </c>
      <c r="AC105" s="49">
        <f t="shared" si="67"/>
        <v>0</v>
      </c>
      <c r="AD105" s="49">
        <f t="shared" si="68"/>
        <v>0</v>
      </c>
      <c r="AE105" s="50">
        <f t="shared" si="69"/>
        <v>0</v>
      </c>
      <c r="AF105" s="186"/>
      <c r="AG105" s="322"/>
      <c r="AH105" s="138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4"/>
      <c r="AT105" s="23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4"/>
      <c r="BF105" s="138"/>
      <c r="BG105" s="141"/>
      <c r="BH105" s="141"/>
      <c r="BI105" s="141"/>
      <c r="BJ105" s="141"/>
      <c r="BK105" s="141"/>
      <c r="BL105" s="141"/>
      <c r="BM105" s="141"/>
      <c r="BN105" s="141"/>
      <c r="BO105" s="141"/>
      <c r="BP105" s="141"/>
      <c r="BQ105" s="14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5"/>
      <c r="CD105" s="202"/>
      <c r="CE105" s="180"/>
      <c r="CF105" s="156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62"/>
      <c r="CR105" s="120"/>
      <c r="CS105" s="120"/>
      <c r="CT105" s="120"/>
      <c r="CU105" s="120"/>
      <c r="CV105" s="120"/>
      <c r="CW105" s="120"/>
      <c r="CX105" s="120"/>
      <c r="CY105" s="120"/>
      <c r="CZ105" s="120"/>
      <c r="DA105" s="120"/>
      <c r="DB105" s="120"/>
      <c r="DC105" s="120"/>
      <c r="DD105" s="123"/>
      <c r="DE105" s="138"/>
      <c r="DF105" s="141"/>
      <c r="DG105" s="141"/>
      <c r="DH105" s="141"/>
      <c r="DI105" s="141"/>
      <c r="DJ105" s="141"/>
      <c r="DK105" s="141"/>
      <c r="DL105" s="141"/>
      <c r="DM105" s="141"/>
      <c r="DN105" s="141"/>
      <c r="DO105" s="141"/>
      <c r="DP105" s="144"/>
      <c r="DQ105" s="106"/>
      <c r="DR105" s="106"/>
      <c r="DS105" s="106"/>
      <c r="DT105" s="106"/>
      <c r="DU105" s="106"/>
      <c r="DV105" s="106"/>
      <c r="DW105" s="106"/>
      <c r="DX105" s="106"/>
      <c r="DY105" s="106"/>
      <c r="DZ105" s="106"/>
      <c r="EA105" s="106"/>
      <c r="EB105" s="109"/>
      <c r="EC105" s="132"/>
      <c r="EE105" s="114"/>
      <c r="EF105" s="117"/>
    </row>
    <row r="106" spans="1:136" ht="20.25" customHeight="1">
      <c r="A106" s="128"/>
      <c r="B106" s="254"/>
      <c r="C106" s="269"/>
      <c r="D106" s="272"/>
      <c r="E106" s="241"/>
      <c r="F106" s="103" t="s">
        <v>214</v>
      </c>
      <c r="G106" s="104" t="s">
        <v>276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7"/>
      <c r="T106" s="48">
        <f t="shared" si="63"/>
        <v>0</v>
      </c>
      <c r="U106" s="49">
        <f t="shared" si="70"/>
        <v>0</v>
      </c>
      <c r="V106" s="49">
        <f t="shared" si="70"/>
        <v>0</v>
      </c>
      <c r="W106" s="49">
        <f t="shared" si="70"/>
        <v>0</v>
      </c>
      <c r="X106" s="49">
        <f t="shared" si="70"/>
        <v>0</v>
      </c>
      <c r="Y106" s="49">
        <f t="shared" si="70"/>
        <v>0</v>
      </c>
      <c r="Z106" s="49">
        <f t="shared" si="65"/>
        <v>0</v>
      </c>
      <c r="AA106" s="49">
        <f t="shared" si="65"/>
        <v>0</v>
      </c>
      <c r="AB106" s="49">
        <f t="shared" si="66"/>
        <v>0</v>
      </c>
      <c r="AC106" s="49">
        <f t="shared" si="67"/>
        <v>0</v>
      </c>
      <c r="AD106" s="49">
        <f t="shared" si="68"/>
        <v>0</v>
      </c>
      <c r="AE106" s="50">
        <f t="shared" si="69"/>
        <v>0</v>
      </c>
      <c r="AF106" s="186"/>
      <c r="AG106" s="322"/>
      <c r="AH106" s="138"/>
      <c r="AI106" s="141"/>
      <c r="AJ106" s="141"/>
      <c r="AK106" s="141"/>
      <c r="AL106" s="141"/>
      <c r="AM106" s="141"/>
      <c r="AN106" s="141"/>
      <c r="AO106" s="141"/>
      <c r="AP106" s="141"/>
      <c r="AQ106" s="141"/>
      <c r="AR106" s="141"/>
      <c r="AS106" s="144"/>
      <c r="AT106" s="234"/>
      <c r="AU106" s="220"/>
      <c r="AV106" s="220"/>
      <c r="AW106" s="220"/>
      <c r="AX106" s="220"/>
      <c r="AY106" s="220"/>
      <c r="AZ106" s="220"/>
      <c r="BA106" s="220"/>
      <c r="BB106" s="220"/>
      <c r="BC106" s="220"/>
      <c r="BD106" s="220"/>
      <c r="BE106" s="225"/>
      <c r="BF106" s="138"/>
      <c r="BG106" s="141"/>
      <c r="BH106" s="141"/>
      <c r="BI106" s="141"/>
      <c r="BJ106" s="141"/>
      <c r="BK106" s="141"/>
      <c r="BL106" s="141"/>
      <c r="BM106" s="141"/>
      <c r="BN106" s="141"/>
      <c r="BO106" s="141"/>
      <c r="BP106" s="141"/>
      <c r="BQ106" s="14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5"/>
      <c r="CD106" s="202"/>
      <c r="CE106" s="180"/>
      <c r="CF106" s="156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62"/>
      <c r="CR106" s="120"/>
      <c r="CS106" s="120"/>
      <c r="CT106" s="120"/>
      <c r="CU106" s="120"/>
      <c r="CV106" s="120"/>
      <c r="CW106" s="120"/>
      <c r="CX106" s="120"/>
      <c r="CY106" s="120"/>
      <c r="CZ106" s="120"/>
      <c r="DA106" s="120"/>
      <c r="DB106" s="120"/>
      <c r="DC106" s="120"/>
      <c r="DD106" s="123"/>
      <c r="DE106" s="138"/>
      <c r="DF106" s="141"/>
      <c r="DG106" s="141"/>
      <c r="DH106" s="141"/>
      <c r="DI106" s="141"/>
      <c r="DJ106" s="141"/>
      <c r="DK106" s="141"/>
      <c r="DL106" s="141"/>
      <c r="DM106" s="141"/>
      <c r="DN106" s="141"/>
      <c r="DO106" s="141"/>
      <c r="DP106" s="144"/>
      <c r="DQ106" s="106"/>
      <c r="DR106" s="106"/>
      <c r="DS106" s="106"/>
      <c r="DT106" s="106"/>
      <c r="DU106" s="106"/>
      <c r="DV106" s="106"/>
      <c r="DW106" s="106"/>
      <c r="DX106" s="106"/>
      <c r="DY106" s="106"/>
      <c r="DZ106" s="106"/>
      <c r="EA106" s="106"/>
      <c r="EB106" s="109"/>
      <c r="EC106" s="132"/>
      <c r="EE106" s="114"/>
      <c r="EF106" s="117"/>
    </row>
    <row r="107" spans="1:136" ht="20.25" customHeight="1">
      <c r="A107" s="128"/>
      <c r="B107" s="254"/>
      <c r="C107" s="269"/>
      <c r="D107" s="272"/>
      <c r="E107" s="242" t="s">
        <v>6</v>
      </c>
      <c r="F107" s="76" t="s">
        <v>215</v>
      </c>
      <c r="G107" s="77" t="s">
        <v>234</v>
      </c>
      <c r="H107" s="46">
        <v>0.94722222222222219</v>
      </c>
      <c r="I107" s="46">
        <v>0.81534722222222233</v>
      </c>
      <c r="J107" s="46">
        <v>0.62430555555555556</v>
      </c>
      <c r="K107" s="46">
        <v>0.43402777777777773</v>
      </c>
      <c r="L107" s="46">
        <v>0.55902777777777779</v>
      </c>
      <c r="M107" s="46">
        <v>0.91145833333333337</v>
      </c>
      <c r="N107" s="46">
        <v>0.84027777777777779</v>
      </c>
      <c r="O107" s="46"/>
      <c r="P107" s="46"/>
      <c r="Q107" s="46"/>
      <c r="R107" s="46"/>
      <c r="S107" s="47"/>
      <c r="T107" s="48">
        <f t="shared" si="63"/>
        <v>22.733333333333334</v>
      </c>
      <c r="U107" s="49">
        <f t="shared" si="70"/>
        <v>19.568333333333335</v>
      </c>
      <c r="V107" s="49">
        <f t="shared" si="70"/>
        <v>14.983333333333334</v>
      </c>
      <c r="W107" s="49">
        <f t="shared" si="70"/>
        <v>10.416666666666666</v>
      </c>
      <c r="X107" s="49">
        <f t="shared" si="70"/>
        <v>13.416666666666668</v>
      </c>
      <c r="Y107" s="49">
        <f t="shared" si="70"/>
        <v>21.875</v>
      </c>
      <c r="Z107" s="49">
        <f t="shared" si="65"/>
        <v>20.166666666666668</v>
      </c>
      <c r="AA107" s="49">
        <f t="shared" si="65"/>
        <v>0</v>
      </c>
      <c r="AB107" s="49">
        <f t="shared" si="66"/>
        <v>0</v>
      </c>
      <c r="AC107" s="49">
        <f t="shared" si="67"/>
        <v>0</v>
      </c>
      <c r="AD107" s="49">
        <f t="shared" si="68"/>
        <v>0</v>
      </c>
      <c r="AE107" s="50">
        <f t="shared" si="69"/>
        <v>0</v>
      </c>
      <c r="AF107" s="186"/>
      <c r="AG107" s="322"/>
      <c r="AH107" s="138">
        <f>IFERROR((SUM(T107:T113)/COUNTIF(T107:T113,"&gt;0")),0)</f>
        <v>22.733333333333334</v>
      </c>
      <c r="AI107" s="141">
        <f t="shared" ref="AI107:AS107" si="86">IFERROR((SUM(U107:U113)/COUNTIF(U107:U113,"&gt;0")),0)</f>
        <v>19.568333333333335</v>
      </c>
      <c r="AJ107" s="141">
        <f t="shared" si="86"/>
        <v>14.983333333333334</v>
      </c>
      <c r="AK107" s="141">
        <f t="shared" si="86"/>
        <v>10.416666666666666</v>
      </c>
      <c r="AL107" s="141">
        <f t="shared" si="86"/>
        <v>13.416666666666668</v>
      </c>
      <c r="AM107" s="141">
        <f t="shared" si="86"/>
        <v>21.875</v>
      </c>
      <c r="AN107" s="141">
        <f t="shared" si="86"/>
        <v>20.166666666666668</v>
      </c>
      <c r="AO107" s="141">
        <f t="shared" si="86"/>
        <v>0</v>
      </c>
      <c r="AP107" s="141">
        <f t="shared" si="86"/>
        <v>0</v>
      </c>
      <c r="AQ107" s="141">
        <f t="shared" si="86"/>
        <v>0</v>
      </c>
      <c r="AR107" s="141">
        <f t="shared" si="86"/>
        <v>0</v>
      </c>
      <c r="AS107" s="144">
        <f t="shared" si="86"/>
        <v>0</v>
      </c>
      <c r="AT107" s="231">
        <v>921</v>
      </c>
      <c r="AU107" s="219">
        <v>930</v>
      </c>
      <c r="AV107" s="219">
        <v>925</v>
      </c>
      <c r="AW107" s="219">
        <v>922</v>
      </c>
      <c r="AX107" s="219">
        <v>915</v>
      </c>
      <c r="AY107" s="219">
        <v>935</v>
      </c>
      <c r="AZ107" s="219">
        <v>950</v>
      </c>
      <c r="BA107" s="219"/>
      <c r="BB107" s="219"/>
      <c r="BC107" s="219"/>
      <c r="BD107" s="219"/>
      <c r="BE107" s="226"/>
      <c r="BF107" s="138"/>
      <c r="BG107" s="141"/>
      <c r="BH107" s="141"/>
      <c r="BI107" s="141"/>
      <c r="BJ107" s="141"/>
      <c r="BK107" s="141"/>
      <c r="BL107" s="141"/>
      <c r="BM107" s="141"/>
      <c r="BN107" s="141"/>
      <c r="BO107" s="141"/>
      <c r="BP107" s="141"/>
      <c r="BQ107" s="14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5"/>
      <c r="CD107" s="202"/>
      <c r="CE107" s="180"/>
      <c r="CF107" s="156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62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20"/>
      <c r="DC107" s="120"/>
      <c r="DD107" s="123"/>
      <c r="DE107" s="138"/>
      <c r="DF107" s="141"/>
      <c r="DG107" s="141"/>
      <c r="DH107" s="141"/>
      <c r="DI107" s="141"/>
      <c r="DJ107" s="141"/>
      <c r="DK107" s="141"/>
      <c r="DL107" s="141"/>
      <c r="DM107" s="141"/>
      <c r="DN107" s="141"/>
      <c r="DO107" s="141"/>
      <c r="DP107" s="144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09"/>
      <c r="EC107" s="132"/>
      <c r="EE107" s="114"/>
      <c r="EF107" s="117"/>
    </row>
    <row r="108" spans="1:136" ht="20.25" customHeight="1">
      <c r="A108" s="128"/>
      <c r="B108" s="254"/>
      <c r="C108" s="269"/>
      <c r="D108" s="272"/>
      <c r="E108" s="243"/>
      <c r="F108" s="2" t="s">
        <v>216</v>
      </c>
      <c r="G108" s="3" t="s">
        <v>235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7"/>
      <c r="T108" s="48">
        <f t="shared" si="63"/>
        <v>0</v>
      </c>
      <c r="U108" s="49">
        <f t="shared" si="70"/>
        <v>0</v>
      </c>
      <c r="V108" s="49">
        <f t="shared" si="70"/>
        <v>0</v>
      </c>
      <c r="W108" s="49">
        <f t="shared" si="70"/>
        <v>0</v>
      </c>
      <c r="X108" s="49">
        <f t="shared" si="70"/>
        <v>0</v>
      </c>
      <c r="Y108" s="49">
        <f t="shared" si="70"/>
        <v>0</v>
      </c>
      <c r="Z108" s="49">
        <f t="shared" si="65"/>
        <v>0</v>
      </c>
      <c r="AA108" s="49">
        <f t="shared" si="65"/>
        <v>0</v>
      </c>
      <c r="AB108" s="49">
        <f t="shared" si="66"/>
        <v>0</v>
      </c>
      <c r="AC108" s="49">
        <f t="shared" si="67"/>
        <v>0</v>
      </c>
      <c r="AD108" s="49">
        <f t="shared" si="68"/>
        <v>0</v>
      </c>
      <c r="AE108" s="50">
        <f t="shared" si="69"/>
        <v>0</v>
      </c>
      <c r="AF108" s="186"/>
      <c r="AG108" s="322"/>
      <c r="AH108" s="138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4"/>
      <c r="AT108" s="23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4"/>
      <c r="BF108" s="138"/>
      <c r="BG108" s="141"/>
      <c r="BH108" s="141"/>
      <c r="BI108" s="141"/>
      <c r="BJ108" s="141"/>
      <c r="BK108" s="141"/>
      <c r="BL108" s="141"/>
      <c r="BM108" s="141"/>
      <c r="BN108" s="141"/>
      <c r="BO108" s="141"/>
      <c r="BP108" s="141"/>
      <c r="BQ108" s="14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5"/>
      <c r="CD108" s="202"/>
      <c r="CE108" s="180"/>
      <c r="CF108" s="156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62"/>
      <c r="CR108" s="120"/>
      <c r="CS108" s="120"/>
      <c r="CT108" s="120"/>
      <c r="CU108" s="120"/>
      <c r="CV108" s="120"/>
      <c r="CW108" s="120"/>
      <c r="CX108" s="120"/>
      <c r="CY108" s="120"/>
      <c r="CZ108" s="120"/>
      <c r="DA108" s="120"/>
      <c r="DB108" s="120"/>
      <c r="DC108" s="120"/>
      <c r="DD108" s="123"/>
      <c r="DE108" s="138"/>
      <c r="DF108" s="141"/>
      <c r="DG108" s="141"/>
      <c r="DH108" s="141"/>
      <c r="DI108" s="141"/>
      <c r="DJ108" s="141"/>
      <c r="DK108" s="141"/>
      <c r="DL108" s="141"/>
      <c r="DM108" s="141"/>
      <c r="DN108" s="141"/>
      <c r="DO108" s="141"/>
      <c r="DP108" s="144"/>
      <c r="DQ108" s="106"/>
      <c r="DR108" s="106"/>
      <c r="DS108" s="106"/>
      <c r="DT108" s="106"/>
      <c r="DU108" s="106"/>
      <c r="DV108" s="106"/>
      <c r="DW108" s="106"/>
      <c r="DX108" s="106"/>
      <c r="DY108" s="106"/>
      <c r="DZ108" s="106"/>
      <c r="EA108" s="106"/>
      <c r="EB108" s="109"/>
      <c r="EC108" s="132"/>
      <c r="EE108" s="114"/>
      <c r="EF108" s="117"/>
    </row>
    <row r="109" spans="1:136" ht="20.25" customHeight="1">
      <c r="A109" s="128"/>
      <c r="B109" s="254"/>
      <c r="C109" s="269"/>
      <c r="D109" s="272"/>
      <c r="E109" s="243"/>
      <c r="F109" s="2" t="s">
        <v>217</v>
      </c>
      <c r="G109" s="3" t="s">
        <v>236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7"/>
      <c r="T109" s="48">
        <f t="shared" si="63"/>
        <v>0</v>
      </c>
      <c r="U109" s="49">
        <f t="shared" si="70"/>
        <v>0</v>
      </c>
      <c r="V109" s="49">
        <f t="shared" si="70"/>
        <v>0</v>
      </c>
      <c r="W109" s="49">
        <f t="shared" si="70"/>
        <v>0</v>
      </c>
      <c r="X109" s="49">
        <f t="shared" si="70"/>
        <v>0</v>
      </c>
      <c r="Y109" s="49">
        <f t="shared" si="70"/>
        <v>0</v>
      </c>
      <c r="Z109" s="49">
        <f t="shared" si="65"/>
        <v>0</v>
      </c>
      <c r="AA109" s="49">
        <f t="shared" si="65"/>
        <v>0</v>
      </c>
      <c r="AB109" s="49">
        <f t="shared" si="66"/>
        <v>0</v>
      </c>
      <c r="AC109" s="49">
        <f t="shared" si="67"/>
        <v>0</v>
      </c>
      <c r="AD109" s="49">
        <f t="shared" si="68"/>
        <v>0</v>
      </c>
      <c r="AE109" s="50">
        <f t="shared" si="69"/>
        <v>0</v>
      </c>
      <c r="AF109" s="186"/>
      <c r="AG109" s="322"/>
      <c r="AH109" s="138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4"/>
      <c r="AT109" s="23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4"/>
      <c r="BF109" s="138"/>
      <c r="BG109" s="141"/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5"/>
      <c r="CD109" s="202"/>
      <c r="CE109" s="180"/>
      <c r="CF109" s="156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62"/>
      <c r="CR109" s="120"/>
      <c r="CS109" s="120"/>
      <c r="CT109" s="120"/>
      <c r="CU109" s="120"/>
      <c r="CV109" s="120"/>
      <c r="CW109" s="120"/>
      <c r="CX109" s="120"/>
      <c r="CY109" s="120"/>
      <c r="CZ109" s="120"/>
      <c r="DA109" s="120"/>
      <c r="DB109" s="120"/>
      <c r="DC109" s="120"/>
      <c r="DD109" s="123"/>
      <c r="DE109" s="138"/>
      <c r="DF109" s="141"/>
      <c r="DG109" s="141"/>
      <c r="DH109" s="141"/>
      <c r="DI109" s="141"/>
      <c r="DJ109" s="141"/>
      <c r="DK109" s="141"/>
      <c r="DL109" s="141"/>
      <c r="DM109" s="141"/>
      <c r="DN109" s="141"/>
      <c r="DO109" s="141"/>
      <c r="DP109" s="144"/>
      <c r="DQ109" s="106"/>
      <c r="DR109" s="106"/>
      <c r="DS109" s="106"/>
      <c r="DT109" s="106"/>
      <c r="DU109" s="106"/>
      <c r="DV109" s="106"/>
      <c r="DW109" s="106"/>
      <c r="DX109" s="106"/>
      <c r="DY109" s="106"/>
      <c r="DZ109" s="106"/>
      <c r="EA109" s="106"/>
      <c r="EB109" s="109"/>
      <c r="EC109" s="132"/>
      <c r="EE109" s="114"/>
      <c r="EF109" s="117"/>
    </row>
    <row r="110" spans="1:136" ht="20.25" customHeight="1">
      <c r="A110" s="128"/>
      <c r="B110" s="254"/>
      <c r="C110" s="269"/>
      <c r="D110" s="272"/>
      <c r="E110" s="243"/>
      <c r="F110" s="2" t="s">
        <v>218</v>
      </c>
      <c r="G110" s="3" t="s">
        <v>237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7"/>
      <c r="T110" s="48">
        <f t="shared" si="63"/>
        <v>0</v>
      </c>
      <c r="U110" s="91">
        <f t="shared" si="70"/>
        <v>0</v>
      </c>
      <c r="V110" s="49">
        <f t="shared" si="70"/>
        <v>0</v>
      </c>
      <c r="W110" s="49">
        <f t="shared" si="70"/>
        <v>0</v>
      </c>
      <c r="X110" s="49">
        <f t="shared" si="70"/>
        <v>0</v>
      </c>
      <c r="Y110" s="49">
        <f t="shared" si="70"/>
        <v>0</v>
      </c>
      <c r="Z110" s="49">
        <f t="shared" si="65"/>
        <v>0</v>
      </c>
      <c r="AA110" s="49">
        <f t="shared" si="65"/>
        <v>0</v>
      </c>
      <c r="AB110" s="49">
        <f t="shared" si="66"/>
        <v>0</v>
      </c>
      <c r="AC110" s="49">
        <f t="shared" si="67"/>
        <v>0</v>
      </c>
      <c r="AD110" s="49">
        <f t="shared" si="68"/>
        <v>0</v>
      </c>
      <c r="AE110" s="50">
        <f t="shared" si="69"/>
        <v>0</v>
      </c>
      <c r="AF110" s="186"/>
      <c r="AG110" s="322"/>
      <c r="AH110" s="138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4"/>
      <c r="AT110" s="23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4"/>
      <c r="BF110" s="138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5"/>
      <c r="CD110" s="202"/>
      <c r="CE110" s="180"/>
      <c r="CF110" s="156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62"/>
      <c r="CR110" s="120"/>
      <c r="CS110" s="120"/>
      <c r="CT110" s="120"/>
      <c r="CU110" s="120"/>
      <c r="CV110" s="120"/>
      <c r="CW110" s="120"/>
      <c r="CX110" s="120"/>
      <c r="CY110" s="120"/>
      <c r="CZ110" s="120"/>
      <c r="DA110" s="120"/>
      <c r="DB110" s="120"/>
      <c r="DC110" s="120"/>
      <c r="DD110" s="123"/>
      <c r="DE110" s="138"/>
      <c r="DF110" s="141"/>
      <c r="DG110" s="141"/>
      <c r="DH110" s="141"/>
      <c r="DI110" s="141"/>
      <c r="DJ110" s="141"/>
      <c r="DK110" s="141"/>
      <c r="DL110" s="141"/>
      <c r="DM110" s="141"/>
      <c r="DN110" s="141"/>
      <c r="DO110" s="141"/>
      <c r="DP110" s="144"/>
      <c r="DQ110" s="106"/>
      <c r="DR110" s="106"/>
      <c r="DS110" s="106"/>
      <c r="DT110" s="106"/>
      <c r="DU110" s="106"/>
      <c r="DV110" s="106"/>
      <c r="DW110" s="106"/>
      <c r="DX110" s="106"/>
      <c r="DY110" s="106"/>
      <c r="DZ110" s="106"/>
      <c r="EA110" s="106"/>
      <c r="EB110" s="109"/>
      <c r="EC110" s="132"/>
      <c r="EE110" s="114"/>
      <c r="EF110" s="117"/>
    </row>
    <row r="111" spans="1:136" ht="20.25" customHeight="1">
      <c r="A111" s="128"/>
      <c r="B111" s="254"/>
      <c r="C111" s="269"/>
      <c r="D111" s="272"/>
      <c r="E111" s="243"/>
      <c r="F111" s="2" t="s">
        <v>219</v>
      </c>
      <c r="G111" s="3" t="s">
        <v>238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7"/>
      <c r="T111" s="48">
        <f t="shared" si="63"/>
        <v>0</v>
      </c>
      <c r="U111" s="49">
        <f t="shared" si="70"/>
        <v>0</v>
      </c>
      <c r="V111" s="49">
        <f t="shared" si="70"/>
        <v>0</v>
      </c>
      <c r="W111" s="49">
        <f t="shared" si="70"/>
        <v>0</v>
      </c>
      <c r="X111" s="49">
        <f t="shared" si="70"/>
        <v>0</v>
      </c>
      <c r="Y111" s="49">
        <f t="shared" si="70"/>
        <v>0</v>
      </c>
      <c r="Z111" s="49">
        <f t="shared" si="65"/>
        <v>0</v>
      </c>
      <c r="AA111" s="49">
        <f t="shared" si="65"/>
        <v>0</v>
      </c>
      <c r="AB111" s="49">
        <f t="shared" si="66"/>
        <v>0</v>
      </c>
      <c r="AC111" s="49">
        <f t="shared" si="67"/>
        <v>0</v>
      </c>
      <c r="AD111" s="49">
        <f t="shared" si="68"/>
        <v>0</v>
      </c>
      <c r="AE111" s="50">
        <f t="shared" si="69"/>
        <v>0</v>
      </c>
      <c r="AF111" s="186"/>
      <c r="AG111" s="322"/>
      <c r="AH111" s="138"/>
      <c r="AI111" s="141"/>
      <c r="AJ111" s="141"/>
      <c r="AK111" s="141"/>
      <c r="AL111" s="141"/>
      <c r="AM111" s="141"/>
      <c r="AN111" s="141"/>
      <c r="AO111" s="141"/>
      <c r="AP111" s="141"/>
      <c r="AQ111" s="141"/>
      <c r="AR111" s="141"/>
      <c r="AS111" s="144"/>
      <c r="AT111" s="23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4"/>
      <c r="BF111" s="138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5"/>
      <c r="CD111" s="202"/>
      <c r="CE111" s="180"/>
      <c r="CF111" s="156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62"/>
      <c r="CR111" s="120"/>
      <c r="CS111" s="120"/>
      <c r="CT111" s="120"/>
      <c r="CU111" s="120"/>
      <c r="CV111" s="120"/>
      <c r="CW111" s="120"/>
      <c r="CX111" s="120"/>
      <c r="CY111" s="120"/>
      <c r="CZ111" s="120"/>
      <c r="DA111" s="120"/>
      <c r="DB111" s="120"/>
      <c r="DC111" s="120"/>
      <c r="DD111" s="123"/>
      <c r="DE111" s="138"/>
      <c r="DF111" s="141"/>
      <c r="DG111" s="141"/>
      <c r="DH111" s="141"/>
      <c r="DI111" s="141"/>
      <c r="DJ111" s="141"/>
      <c r="DK111" s="141"/>
      <c r="DL111" s="141"/>
      <c r="DM111" s="141"/>
      <c r="DN111" s="141"/>
      <c r="DO111" s="141"/>
      <c r="DP111" s="144"/>
      <c r="DQ111" s="106"/>
      <c r="DR111" s="106"/>
      <c r="DS111" s="106"/>
      <c r="DT111" s="106"/>
      <c r="DU111" s="106"/>
      <c r="DV111" s="106"/>
      <c r="DW111" s="106"/>
      <c r="DX111" s="106"/>
      <c r="DY111" s="106"/>
      <c r="DZ111" s="106"/>
      <c r="EA111" s="106"/>
      <c r="EB111" s="109"/>
      <c r="EC111" s="132"/>
      <c r="EE111" s="114"/>
      <c r="EF111" s="117"/>
    </row>
    <row r="112" spans="1:136" ht="20.25" customHeight="1">
      <c r="A112" s="128"/>
      <c r="B112" s="254"/>
      <c r="C112" s="269"/>
      <c r="D112" s="272"/>
      <c r="E112" s="243"/>
      <c r="F112" s="2" t="s">
        <v>220</v>
      </c>
      <c r="G112" s="3" t="s">
        <v>239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7"/>
      <c r="T112" s="48">
        <f t="shared" si="63"/>
        <v>0</v>
      </c>
      <c r="U112" s="49">
        <f t="shared" si="70"/>
        <v>0</v>
      </c>
      <c r="V112" s="49">
        <f t="shared" si="70"/>
        <v>0</v>
      </c>
      <c r="W112" s="49">
        <f t="shared" ref="W112:W113" si="87">K112*24</f>
        <v>0</v>
      </c>
      <c r="X112" s="49">
        <f t="shared" si="70"/>
        <v>0</v>
      </c>
      <c r="Y112" s="49">
        <f t="shared" si="70"/>
        <v>0</v>
      </c>
      <c r="Z112" s="49">
        <f t="shared" si="65"/>
        <v>0</v>
      </c>
      <c r="AA112" s="49">
        <f t="shared" si="65"/>
        <v>0</v>
      </c>
      <c r="AB112" s="49">
        <f t="shared" si="66"/>
        <v>0</v>
      </c>
      <c r="AC112" s="49">
        <f t="shared" si="67"/>
        <v>0</v>
      </c>
      <c r="AD112" s="49">
        <f t="shared" si="68"/>
        <v>0</v>
      </c>
      <c r="AE112" s="50">
        <f t="shared" si="69"/>
        <v>0</v>
      </c>
      <c r="AF112" s="186"/>
      <c r="AG112" s="322"/>
      <c r="AH112" s="138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4"/>
      <c r="AT112" s="23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4"/>
      <c r="BF112" s="138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5"/>
      <c r="CD112" s="202"/>
      <c r="CE112" s="180"/>
      <c r="CF112" s="156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62"/>
      <c r="CR112" s="120"/>
      <c r="CS112" s="120"/>
      <c r="CT112" s="120"/>
      <c r="CU112" s="120"/>
      <c r="CV112" s="120"/>
      <c r="CW112" s="120"/>
      <c r="CX112" s="120"/>
      <c r="CY112" s="120"/>
      <c r="CZ112" s="120"/>
      <c r="DA112" s="120"/>
      <c r="DB112" s="120"/>
      <c r="DC112" s="120"/>
      <c r="DD112" s="123"/>
      <c r="DE112" s="138"/>
      <c r="DF112" s="141"/>
      <c r="DG112" s="141"/>
      <c r="DH112" s="141"/>
      <c r="DI112" s="141"/>
      <c r="DJ112" s="141"/>
      <c r="DK112" s="141"/>
      <c r="DL112" s="141"/>
      <c r="DM112" s="141"/>
      <c r="DN112" s="141"/>
      <c r="DO112" s="141"/>
      <c r="DP112" s="144"/>
      <c r="DQ112" s="106"/>
      <c r="DR112" s="106"/>
      <c r="DS112" s="106"/>
      <c r="DT112" s="106"/>
      <c r="DU112" s="106"/>
      <c r="DV112" s="106"/>
      <c r="DW112" s="106"/>
      <c r="DX112" s="106"/>
      <c r="DY112" s="106"/>
      <c r="DZ112" s="106"/>
      <c r="EA112" s="106"/>
      <c r="EB112" s="109"/>
      <c r="EC112" s="132"/>
      <c r="EE112" s="114"/>
      <c r="EF112" s="117"/>
    </row>
    <row r="113" spans="1:136" ht="20.25" customHeight="1" thickBot="1">
      <c r="A113" s="129"/>
      <c r="B113" s="255"/>
      <c r="C113" s="270"/>
      <c r="D113" s="273"/>
      <c r="E113" s="244"/>
      <c r="F113" s="10" t="s">
        <v>221</v>
      </c>
      <c r="G113" s="11" t="s">
        <v>240</v>
      </c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2"/>
      <c r="T113" s="53">
        <f t="shared" si="63"/>
        <v>0</v>
      </c>
      <c r="U113" s="49">
        <f t="shared" si="70"/>
        <v>0</v>
      </c>
      <c r="V113" s="49">
        <f t="shared" si="70"/>
        <v>0</v>
      </c>
      <c r="W113" s="54">
        <f t="shared" si="87"/>
        <v>0</v>
      </c>
      <c r="X113" s="49">
        <f t="shared" si="70"/>
        <v>0</v>
      </c>
      <c r="Y113" s="54">
        <f t="shared" ref="Y113" si="88">M113*24</f>
        <v>0</v>
      </c>
      <c r="Z113" s="54">
        <f t="shared" ref="Z113:AA113" si="89">N113*24</f>
        <v>0</v>
      </c>
      <c r="AA113" s="49">
        <f t="shared" si="89"/>
        <v>0</v>
      </c>
      <c r="AB113" s="54">
        <f t="shared" si="66"/>
        <v>0</v>
      </c>
      <c r="AC113" s="54">
        <f t="shared" si="67"/>
        <v>0</v>
      </c>
      <c r="AD113" s="54">
        <f t="shared" si="68"/>
        <v>0</v>
      </c>
      <c r="AE113" s="55">
        <f t="shared" si="69"/>
        <v>0</v>
      </c>
      <c r="AF113" s="187"/>
      <c r="AG113" s="323"/>
      <c r="AH113" s="139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5"/>
      <c r="AT113" s="233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30"/>
      <c r="BF113" s="139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5"/>
      <c r="BR113" s="265"/>
      <c r="BS113" s="265"/>
      <c r="BT113" s="265"/>
      <c r="BU113" s="265"/>
      <c r="BV113" s="265"/>
      <c r="BW113" s="265"/>
      <c r="BX113" s="265"/>
      <c r="BY113" s="265"/>
      <c r="BZ113" s="265"/>
      <c r="CA113" s="265"/>
      <c r="CB113" s="265"/>
      <c r="CC113" s="267"/>
      <c r="CD113" s="203"/>
      <c r="CE113" s="181"/>
      <c r="CF113" s="157"/>
      <c r="CG113" s="160"/>
      <c r="CH113" s="160"/>
      <c r="CI113" s="160"/>
      <c r="CJ113" s="160"/>
      <c r="CK113" s="160"/>
      <c r="CL113" s="160"/>
      <c r="CM113" s="160"/>
      <c r="CN113" s="160"/>
      <c r="CO113" s="160"/>
      <c r="CP113" s="160"/>
      <c r="CQ113" s="163"/>
      <c r="CR113" s="121"/>
      <c r="CS113" s="121"/>
      <c r="CT113" s="121"/>
      <c r="CU113" s="121"/>
      <c r="CV113" s="121"/>
      <c r="CW113" s="121"/>
      <c r="CX113" s="121"/>
      <c r="CY113" s="121"/>
      <c r="CZ113" s="121"/>
      <c r="DA113" s="121"/>
      <c r="DB113" s="121"/>
      <c r="DC113" s="121"/>
      <c r="DD113" s="124"/>
      <c r="DE113" s="139"/>
      <c r="DF113" s="142"/>
      <c r="DG113" s="142"/>
      <c r="DH113" s="142"/>
      <c r="DI113" s="142"/>
      <c r="DJ113" s="142"/>
      <c r="DK113" s="142"/>
      <c r="DL113" s="142"/>
      <c r="DM113" s="142"/>
      <c r="DN113" s="142"/>
      <c r="DO113" s="142"/>
      <c r="DP113" s="145"/>
      <c r="DQ113" s="107"/>
      <c r="DR113" s="107"/>
      <c r="DS113" s="107"/>
      <c r="DT113" s="107"/>
      <c r="DU113" s="107"/>
      <c r="DV113" s="107"/>
      <c r="DW113" s="107"/>
      <c r="DX113" s="107"/>
      <c r="DY113" s="107"/>
      <c r="DZ113" s="107"/>
      <c r="EA113" s="107"/>
      <c r="EB113" s="110"/>
      <c r="EC113" s="133"/>
      <c r="EE113" s="115"/>
      <c r="EF113" s="118"/>
    </row>
    <row r="115" spans="1:136">
      <c r="BF115" s="100">
        <f>((BF36*BR36)+(BF39*BR39)+(BF51*BR51))/(BR36+BR39+BR51)</f>
        <v>23.24111765255584</v>
      </c>
      <c r="BG115" s="100">
        <f t="shared" ref="BG115:BL115" si="90">((BG36*BS36)+(BG39*BS39)+(BG51*BS51))/(BS36+BS39+BS51)</f>
        <v>20.073980158730162</v>
      </c>
      <c r="BH115" s="100">
        <f t="shared" si="90"/>
        <v>21.887669395821568</v>
      </c>
      <c r="BI115" s="100">
        <f t="shared" si="90"/>
        <v>24</v>
      </c>
      <c r="BJ115" s="100">
        <f t="shared" si="90"/>
        <v>24</v>
      </c>
      <c r="BK115" s="100">
        <f t="shared" si="90"/>
        <v>24</v>
      </c>
      <c r="BL115" s="100">
        <f t="shared" si="90"/>
        <v>24</v>
      </c>
    </row>
  </sheetData>
  <mergeCells count="1113">
    <mergeCell ref="A2:DT2"/>
    <mergeCell ref="CF4:CQ4"/>
    <mergeCell ref="CR4:DC4"/>
    <mergeCell ref="DD4:DD5"/>
    <mergeCell ref="D4:D5"/>
    <mergeCell ref="E4:E5"/>
    <mergeCell ref="G4:G5"/>
    <mergeCell ref="T4:AE4"/>
    <mergeCell ref="AH4:AS4"/>
    <mergeCell ref="AT4:BE4"/>
    <mergeCell ref="AF4:AF5"/>
    <mergeCell ref="AX6:AX10"/>
    <mergeCell ref="AY6:AY10"/>
    <mergeCell ref="AZ6:AZ10"/>
    <mergeCell ref="BA6:BA10"/>
    <mergeCell ref="BB6:BB10"/>
    <mergeCell ref="BC6:BC10"/>
    <mergeCell ref="AR6:AR10"/>
    <mergeCell ref="AS6:AS10"/>
    <mergeCell ref="AT6:AT10"/>
    <mergeCell ref="AG4:AG5"/>
    <mergeCell ref="AG6:AG113"/>
    <mergeCell ref="BA11:BA15"/>
    <mergeCell ref="BB11:BB15"/>
    <mergeCell ref="BC11:BC15"/>
    <mergeCell ref="BD11:BD15"/>
    <mergeCell ref="D6:D20"/>
    <mergeCell ref="E6:E10"/>
    <mergeCell ref="AH6:AH10"/>
    <mergeCell ref="AI6:AI10"/>
    <mergeCell ref="AJ6:AJ10"/>
    <mergeCell ref="AK6:AK10"/>
    <mergeCell ref="E16:E20"/>
    <mergeCell ref="AH16:AH20"/>
    <mergeCell ref="AI16:AI20"/>
    <mergeCell ref="AJ16:AJ20"/>
    <mergeCell ref="BF4:BQ4"/>
    <mergeCell ref="BR4:CC4"/>
    <mergeCell ref="CD4:CD5"/>
    <mergeCell ref="E11:E15"/>
    <mergeCell ref="AH11:AH15"/>
    <mergeCell ref="AI11:AI15"/>
    <mergeCell ref="AJ11:AJ15"/>
    <mergeCell ref="AK11:AK15"/>
    <mergeCell ref="AL11:AL15"/>
    <mergeCell ref="CB6:CB20"/>
    <mergeCell ref="CC6:CC20"/>
    <mergeCell ref="CD6:CD20"/>
    <mergeCell ref="AU6:AU10"/>
    <mergeCell ref="AV6:AV10"/>
    <mergeCell ref="AW6:AW10"/>
    <mergeCell ref="AL6:AL10"/>
    <mergeCell ref="AM6:AM10"/>
    <mergeCell ref="AN6:AN10"/>
    <mergeCell ref="AO6:AO10"/>
    <mergeCell ref="AP6:AP10"/>
    <mergeCell ref="AQ6:AQ10"/>
    <mergeCell ref="BV6:BV20"/>
    <mergeCell ref="BW6:BW20"/>
    <mergeCell ref="BX6:BX20"/>
    <mergeCell ref="BY6:BY20"/>
    <mergeCell ref="BZ6:BZ20"/>
    <mergeCell ref="CA6:CA20"/>
    <mergeCell ref="BP6:BP20"/>
    <mergeCell ref="BU6:BU20"/>
    <mergeCell ref="AY11:AY15"/>
    <mergeCell ref="AZ11:AZ15"/>
    <mergeCell ref="AU11:AU15"/>
    <mergeCell ref="AV11:AV15"/>
    <mergeCell ref="AW11:AW15"/>
    <mergeCell ref="AX11:AX15"/>
    <mergeCell ref="AM11:AM15"/>
    <mergeCell ref="AN11:AN15"/>
    <mergeCell ref="AO11:AO15"/>
    <mergeCell ref="AP11:AP15"/>
    <mergeCell ref="AQ11:AQ15"/>
    <mergeCell ref="AR11:AR15"/>
    <mergeCell ref="BM6:BM20"/>
    <mergeCell ref="BN6:BN20"/>
    <mergeCell ref="BO6:BO20"/>
    <mergeCell ref="BD6:BD10"/>
    <mergeCell ref="BE6:BE10"/>
    <mergeCell ref="BF6:BF20"/>
    <mergeCell ref="BG6:BG20"/>
    <mergeCell ref="BH6:BH20"/>
    <mergeCell ref="BI6:BI20"/>
    <mergeCell ref="AQ16:AQ20"/>
    <mergeCell ref="AR16:AR20"/>
    <mergeCell ref="AS16:AS20"/>
    <mergeCell ref="AT16:AT20"/>
    <mergeCell ref="AU16:AU20"/>
    <mergeCell ref="AV16:AV20"/>
    <mergeCell ref="AK16:AK20"/>
    <mergeCell ref="AL16:AL20"/>
    <mergeCell ref="AM16:AM20"/>
    <mergeCell ref="AN16:AN20"/>
    <mergeCell ref="AO16:AO20"/>
    <mergeCell ref="AP16:AP20"/>
    <mergeCell ref="BN21:BN26"/>
    <mergeCell ref="BQ6:BQ20"/>
    <mergeCell ref="BR6:BR20"/>
    <mergeCell ref="BS6:BS20"/>
    <mergeCell ref="BT6:BT20"/>
    <mergeCell ref="AW16:AW20"/>
    <mergeCell ref="AX16:AX20"/>
    <mergeCell ref="AY16:AY20"/>
    <mergeCell ref="AZ16:AZ20"/>
    <mergeCell ref="AT21:AT22"/>
    <mergeCell ref="AX21:AX22"/>
    <mergeCell ref="AY21:AY22"/>
    <mergeCell ref="AZ21:AZ22"/>
    <mergeCell ref="BE11:BE15"/>
    <mergeCell ref="BF21:BF26"/>
    <mergeCell ref="AZ23:AZ24"/>
    <mergeCell ref="BA23:BA24"/>
    <mergeCell ref="BB23:BB24"/>
    <mergeCell ref="BC23:BC24"/>
    <mergeCell ref="BD23:BD24"/>
    <mergeCell ref="BE23:BE24"/>
    <mergeCell ref="BA21:BA22"/>
    <mergeCell ref="BB21:BB22"/>
    <mergeCell ref="BC21:BC22"/>
    <mergeCell ref="BD21:BD22"/>
    <mergeCell ref="BE21:BE22"/>
    <mergeCell ref="BQ51:BQ53"/>
    <mergeCell ref="BF51:BF53"/>
    <mergeCell ref="BG51:BG53"/>
    <mergeCell ref="BH51:BH53"/>
    <mergeCell ref="BI51:BI53"/>
    <mergeCell ref="BJ51:BJ53"/>
    <mergeCell ref="BK51:BK53"/>
    <mergeCell ref="BA16:BA20"/>
    <mergeCell ref="BB16:BB20"/>
    <mergeCell ref="BO21:BO26"/>
    <mergeCell ref="BP21:BP26"/>
    <mergeCell ref="BQ21:BQ26"/>
    <mergeCell ref="BM21:BM26"/>
    <mergeCell ref="BC16:BC20"/>
    <mergeCell ref="BD16:BD20"/>
    <mergeCell ref="BE16:BE20"/>
    <mergeCell ref="AS11:AS15"/>
    <mergeCell ref="AT11:AT15"/>
    <mergeCell ref="AS21:AS22"/>
    <mergeCell ref="AT23:AT24"/>
    <mergeCell ref="AT25:AT26"/>
    <mergeCell ref="AT27:AT29"/>
    <mergeCell ref="AT30:AT32"/>
    <mergeCell ref="AY42:AY44"/>
    <mergeCell ref="AZ33:AZ35"/>
    <mergeCell ref="BA33:BA35"/>
    <mergeCell ref="BB33:BB35"/>
    <mergeCell ref="BC33:BC35"/>
    <mergeCell ref="BD33:BD35"/>
    <mergeCell ref="BE33:BE35"/>
    <mergeCell ref="BA30:BA32"/>
    <mergeCell ref="BB30:BB32"/>
    <mergeCell ref="C4:C5"/>
    <mergeCell ref="C6:C20"/>
    <mergeCell ref="D51:D53"/>
    <mergeCell ref="D21:D26"/>
    <mergeCell ref="BP27:BP35"/>
    <mergeCell ref="BQ27:BQ35"/>
    <mergeCell ref="BL27:BL35"/>
    <mergeCell ref="BM27:BM35"/>
    <mergeCell ref="BN27:BN35"/>
    <mergeCell ref="BO27:BO35"/>
    <mergeCell ref="E21:E22"/>
    <mergeCell ref="E23:E24"/>
    <mergeCell ref="E25:E26"/>
    <mergeCell ref="AN25:AN26"/>
    <mergeCell ref="AO25:AO26"/>
    <mergeCell ref="AP25:AP26"/>
    <mergeCell ref="AQ25:AQ26"/>
    <mergeCell ref="AR25:AR26"/>
    <mergeCell ref="AS25:AS26"/>
    <mergeCell ref="AO23:AO24"/>
    <mergeCell ref="BJ6:BJ20"/>
    <mergeCell ref="BK6:BK20"/>
    <mergeCell ref="BL6:BL20"/>
    <mergeCell ref="BN39:BN47"/>
    <mergeCell ref="BO39:BO47"/>
    <mergeCell ref="C27:C35"/>
    <mergeCell ref="D27:D35"/>
    <mergeCell ref="E27:E29"/>
    <mergeCell ref="E30:E32"/>
    <mergeCell ref="AP21:AP22"/>
    <mergeCell ref="AQ21:AQ22"/>
    <mergeCell ref="AR21:AR22"/>
    <mergeCell ref="CD36:CD38"/>
    <mergeCell ref="BS36:BS38"/>
    <mergeCell ref="BT36:BT38"/>
    <mergeCell ref="BU36:BU38"/>
    <mergeCell ref="BV36:BV38"/>
    <mergeCell ref="BW36:BW38"/>
    <mergeCell ref="BX36:BX38"/>
    <mergeCell ref="BM36:BM38"/>
    <mergeCell ref="BN36:BN38"/>
    <mergeCell ref="BO36:BO38"/>
    <mergeCell ref="BP36:BP38"/>
    <mergeCell ref="BQ36:BQ38"/>
    <mergeCell ref="BR36:BR38"/>
    <mergeCell ref="CD51:CD53"/>
    <mergeCell ref="D36:D38"/>
    <mergeCell ref="BF36:BF38"/>
    <mergeCell ref="BG36:BG38"/>
    <mergeCell ref="BH36:BH38"/>
    <mergeCell ref="BI36:BI38"/>
    <mergeCell ref="BJ36:BJ38"/>
    <mergeCell ref="BK36:BK38"/>
    <mergeCell ref="BL36:BL38"/>
    <mergeCell ref="BX51:BX53"/>
    <mergeCell ref="BY51:BY53"/>
    <mergeCell ref="BZ51:BZ53"/>
    <mergeCell ref="CA51:CA53"/>
    <mergeCell ref="CB51:CB53"/>
    <mergeCell ref="CC51:CC53"/>
    <mergeCell ref="BR51:BR53"/>
    <mergeCell ref="BS51:BS53"/>
    <mergeCell ref="BJ48:BJ50"/>
    <mergeCell ref="BP39:BP47"/>
    <mergeCell ref="BL51:BL53"/>
    <mergeCell ref="BM51:BM53"/>
    <mergeCell ref="BN51:BN53"/>
    <mergeCell ref="BO51:BO53"/>
    <mergeCell ref="BP51:BP53"/>
    <mergeCell ref="AI45:AI47"/>
    <mergeCell ref="AJ45:AJ47"/>
    <mergeCell ref="AK45:AK47"/>
    <mergeCell ref="AL45:AL47"/>
    <mergeCell ref="AM45:AM47"/>
    <mergeCell ref="AN39:AN41"/>
    <mergeCell ref="AO39:AO41"/>
    <mergeCell ref="AP39:AP41"/>
    <mergeCell ref="AQ39:AQ41"/>
    <mergeCell ref="AR39:AR41"/>
    <mergeCell ref="AS39:AS41"/>
    <mergeCell ref="AU39:AU41"/>
    <mergeCell ref="AV39:AV41"/>
    <mergeCell ref="AW39:AW41"/>
    <mergeCell ref="AX39:AX41"/>
    <mergeCell ref="AY39:AY41"/>
    <mergeCell ref="AZ39:AZ41"/>
    <mergeCell ref="AV42:AV44"/>
    <mergeCell ref="AW42:AW44"/>
    <mergeCell ref="AX42:AX44"/>
    <mergeCell ref="AJ42:AJ44"/>
    <mergeCell ref="AK42:AK44"/>
    <mergeCell ref="AL42:AL44"/>
    <mergeCell ref="AM42:AM44"/>
    <mergeCell ref="BL54:BL62"/>
    <mergeCell ref="BM54:BM62"/>
    <mergeCell ref="BN54:BN62"/>
    <mergeCell ref="CC48:CC50"/>
    <mergeCell ref="CD48:CD50"/>
    <mergeCell ref="B4:B5"/>
    <mergeCell ref="BW48:BW50"/>
    <mergeCell ref="BX48:BX50"/>
    <mergeCell ref="BY48:BY50"/>
    <mergeCell ref="BZ48:BZ50"/>
    <mergeCell ref="CA48:CA50"/>
    <mergeCell ref="CB48:CB50"/>
    <mergeCell ref="BQ48:BQ50"/>
    <mergeCell ref="BR48:BR50"/>
    <mergeCell ref="BS48:BS50"/>
    <mergeCell ref="BT48:BT50"/>
    <mergeCell ref="BU48:BU50"/>
    <mergeCell ref="BV48:BV50"/>
    <mergeCell ref="BK48:BK50"/>
    <mergeCell ref="BL48:BL50"/>
    <mergeCell ref="BM48:BM50"/>
    <mergeCell ref="BN48:BN50"/>
    <mergeCell ref="BO48:BO50"/>
    <mergeCell ref="BP48:BP50"/>
    <mergeCell ref="D48:D50"/>
    <mergeCell ref="BF48:BF50"/>
    <mergeCell ref="BG48:BG50"/>
    <mergeCell ref="BH48:BH50"/>
    <mergeCell ref="BI48:BI50"/>
    <mergeCell ref="BQ39:BQ47"/>
    <mergeCell ref="BL39:BL47"/>
    <mergeCell ref="BM39:BM47"/>
    <mergeCell ref="BM63:BM74"/>
    <mergeCell ref="BN63:BN74"/>
    <mergeCell ref="BO63:BO74"/>
    <mergeCell ref="BS63:BS74"/>
    <mergeCell ref="BT63:BT74"/>
    <mergeCell ref="BU63:BU74"/>
    <mergeCell ref="BV63:BV74"/>
    <mergeCell ref="BW63:BW74"/>
    <mergeCell ref="BX63:BX74"/>
    <mergeCell ref="BY63:BY74"/>
    <mergeCell ref="BZ63:BZ74"/>
    <mergeCell ref="CA63:CA74"/>
    <mergeCell ref="CB63:CB74"/>
    <mergeCell ref="CC63:CC74"/>
    <mergeCell ref="BO54:BO62"/>
    <mergeCell ref="BP54:BP62"/>
    <mergeCell ref="BQ54:BQ62"/>
    <mergeCell ref="BI93:BI113"/>
    <mergeCell ref="BJ93:BJ113"/>
    <mergeCell ref="BK93:BK113"/>
    <mergeCell ref="BL75:BL86"/>
    <mergeCell ref="BM75:BM86"/>
    <mergeCell ref="BN75:BN86"/>
    <mergeCell ref="BO75:BO86"/>
    <mergeCell ref="BS75:BS86"/>
    <mergeCell ref="BT75:BT86"/>
    <mergeCell ref="BU75:BU86"/>
    <mergeCell ref="BV75:BV86"/>
    <mergeCell ref="BW75:BW86"/>
    <mergeCell ref="BX75:BX86"/>
    <mergeCell ref="BY75:BY86"/>
    <mergeCell ref="BZ75:BZ86"/>
    <mergeCell ref="CA75:CA86"/>
    <mergeCell ref="CB75:CB86"/>
    <mergeCell ref="BL87:BL92"/>
    <mergeCell ref="BM87:BM92"/>
    <mergeCell ref="BN87:BN92"/>
    <mergeCell ref="BO87:BO92"/>
    <mergeCell ref="BP87:BP92"/>
    <mergeCell ref="BQ87:BQ92"/>
    <mergeCell ref="BP75:BP86"/>
    <mergeCell ref="BQ75:BQ86"/>
    <mergeCell ref="CD93:CD113"/>
    <mergeCell ref="B54:B113"/>
    <mergeCell ref="F4:F5"/>
    <mergeCell ref="C36:C47"/>
    <mergeCell ref="E39:E41"/>
    <mergeCell ref="E42:E44"/>
    <mergeCell ref="E45:E47"/>
    <mergeCell ref="D39:D47"/>
    <mergeCell ref="C21:C26"/>
    <mergeCell ref="BX93:BX113"/>
    <mergeCell ref="BY93:BY113"/>
    <mergeCell ref="BZ93:BZ113"/>
    <mergeCell ref="CA93:CA113"/>
    <mergeCell ref="CB93:CB113"/>
    <mergeCell ref="CC93:CC113"/>
    <mergeCell ref="BR93:BR113"/>
    <mergeCell ref="BS93:BS113"/>
    <mergeCell ref="BT93:BT113"/>
    <mergeCell ref="BU93:BU113"/>
    <mergeCell ref="BV93:BV113"/>
    <mergeCell ref="BW93:BW113"/>
    <mergeCell ref="BL93:BL113"/>
    <mergeCell ref="BM93:BM113"/>
    <mergeCell ref="BN93:BN113"/>
    <mergeCell ref="BO93:BO113"/>
    <mergeCell ref="BP93:BP113"/>
    <mergeCell ref="BQ93:BQ113"/>
    <mergeCell ref="C93:C113"/>
    <mergeCell ref="D93:D113"/>
    <mergeCell ref="BF93:BF113"/>
    <mergeCell ref="BG93:BG113"/>
    <mergeCell ref="BH93:BH113"/>
    <mergeCell ref="AM91:AM92"/>
    <mergeCell ref="E100:E106"/>
    <mergeCell ref="E107:E113"/>
    <mergeCell ref="AH21:AH22"/>
    <mergeCell ref="AH23:AH24"/>
    <mergeCell ref="AH25:AH26"/>
    <mergeCell ref="AH27:AH29"/>
    <mergeCell ref="AH30:AH32"/>
    <mergeCell ref="AH33:AH35"/>
    <mergeCell ref="AH39:AH41"/>
    <mergeCell ref="E91:E92"/>
    <mergeCell ref="E63:E66"/>
    <mergeCell ref="E67:E70"/>
    <mergeCell ref="C63:C74"/>
    <mergeCell ref="D63:D74"/>
    <mergeCell ref="E71:E74"/>
    <mergeCell ref="E75:E78"/>
    <mergeCell ref="E79:E82"/>
    <mergeCell ref="D75:D86"/>
    <mergeCell ref="E83:E86"/>
    <mergeCell ref="C75:C92"/>
    <mergeCell ref="D87:D92"/>
    <mergeCell ref="E87:E88"/>
    <mergeCell ref="E89:E90"/>
    <mergeCell ref="E33:E35"/>
    <mergeCell ref="C54:C62"/>
    <mergeCell ref="D54:D62"/>
    <mergeCell ref="E54:E56"/>
    <mergeCell ref="E57:E59"/>
    <mergeCell ref="E60:E62"/>
    <mergeCell ref="AH89:AH90"/>
    <mergeCell ref="AH91:AH92"/>
    <mergeCell ref="AR67:AR70"/>
    <mergeCell ref="AJ21:AJ22"/>
    <mergeCell ref="AK21:AK22"/>
    <mergeCell ref="AL21:AL22"/>
    <mergeCell ref="AM21:AM22"/>
    <mergeCell ref="AN21:AN22"/>
    <mergeCell ref="AO21:AO22"/>
    <mergeCell ref="E93:E99"/>
    <mergeCell ref="AI21:AI22"/>
    <mergeCell ref="AH67:AH70"/>
    <mergeCell ref="AH71:AH74"/>
    <mergeCell ref="AH75:AH78"/>
    <mergeCell ref="AH79:AH82"/>
    <mergeCell ref="AH83:AH86"/>
    <mergeCell ref="AH87:AH88"/>
    <mergeCell ref="AH42:AH44"/>
    <mergeCell ref="AH45:AH47"/>
    <mergeCell ref="AH54:AH56"/>
    <mergeCell ref="AH57:AH59"/>
    <mergeCell ref="AH60:AH62"/>
    <mergeCell ref="AH63:AH66"/>
    <mergeCell ref="AN42:AN44"/>
    <mergeCell ref="AI33:AI35"/>
    <mergeCell ref="AJ33:AJ35"/>
    <mergeCell ref="AK33:AK35"/>
    <mergeCell ref="AL33:AL35"/>
    <mergeCell ref="AM33:AM35"/>
    <mergeCell ref="AN57:AN59"/>
    <mergeCell ref="AI91:AI92"/>
    <mergeCell ref="AJ91:AJ92"/>
    <mergeCell ref="AK91:AK92"/>
    <mergeCell ref="AL91:AL92"/>
    <mergeCell ref="AS107:AS113"/>
    <mergeCell ref="AI100:AI106"/>
    <mergeCell ref="AJ100:AJ106"/>
    <mergeCell ref="AK100:AK106"/>
    <mergeCell ref="AL100:AL106"/>
    <mergeCell ref="AM100:AM106"/>
    <mergeCell ref="AI107:AI113"/>
    <mergeCell ref="AJ107:AJ113"/>
    <mergeCell ref="AK107:AK113"/>
    <mergeCell ref="AL107:AL113"/>
    <mergeCell ref="AM107:AM113"/>
    <mergeCell ref="AN107:AN113"/>
    <mergeCell ref="AH93:AH99"/>
    <mergeCell ref="AH100:AH106"/>
    <mergeCell ref="AH107:AH113"/>
    <mergeCell ref="AO93:AO99"/>
    <mergeCell ref="AP93:AP99"/>
    <mergeCell ref="AQ93:AQ99"/>
    <mergeCell ref="AR93:AR99"/>
    <mergeCell ref="AS93:AS99"/>
    <mergeCell ref="AI93:AI99"/>
    <mergeCell ref="AJ93:AJ99"/>
    <mergeCell ref="AK93:AK99"/>
    <mergeCell ref="AL93:AL99"/>
    <mergeCell ref="AM93:AM99"/>
    <mergeCell ref="AN93:AN99"/>
    <mergeCell ref="AP100:AP106"/>
    <mergeCell ref="AQ100:AQ106"/>
    <mergeCell ref="AO107:AO113"/>
    <mergeCell ref="AP107:AP113"/>
    <mergeCell ref="AQ107:AQ113"/>
    <mergeCell ref="AR107:AR113"/>
    <mergeCell ref="AS87:AS88"/>
    <mergeCell ref="AR100:AR106"/>
    <mergeCell ref="AS100:AS106"/>
    <mergeCell ref="AO89:AO90"/>
    <mergeCell ref="AP89:AP90"/>
    <mergeCell ref="AQ89:AQ90"/>
    <mergeCell ref="AR89:AR90"/>
    <mergeCell ref="AS89:AS90"/>
    <mergeCell ref="AI87:AI88"/>
    <mergeCell ref="AJ87:AJ88"/>
    <mergeCell ref="AK87:AK88"/>
    <mergeCell ref="AL87:AL88"/>
    <mergeCell ref="AM87:AM88"/>
    <mergeCell ref="AI89:AI90"/>
    <mergeCell ref="AJ89:AJ90"/>
    <mergeCell ref="AK89:AK90"/>
    <mergeCell ref="AL89:AL90"/>
    <mergeCell ref="AM89:AM90"/>
    <mergeCell ref="AN89:AN90"/>
    <mergeCell ref="AP91:AP92"/>
    <mergeCell ref="AQ91:AQ92"/>
    <mergeCell ref="AR91:AR92"/>
    <mergeCell ref="AS91:AS92"/>
    <mergeCell ref="AN100:AN106"/>
    <mergeCell ref="AO100:AO106"/>
    <mergeCell ref="AN91:AN92"/>
    <mergeCell ref="AO91:AO92"/>
    <mergeCell ref="AN87:AN88"/>
    <mergeCell ref="AO87:AO88"/>
    <mergeCell ref="AP87:AP88"/>
    <mergeCell ref="AQ87:AQ88"/>
    <mergeCell ref="AR87:AR88"/>
    <mergeCell ref="AS79:AS82"/>
    <mergeCell ref="AP83:AP86"/>
    <mergeCell ref="AQ83:AQ86"/>
    <mergeCell ref="AR83:AR86"/>
    <mergeCell ref="AS83:AS86"/>
    <mergeCell ref="AI79:AI82"/>
    <mergeCell ref="AJ79:AJ82"/>
    <mergeCell ref="AK79:AK82"/>
    <mergeCell ref="AL79:AL82"/>
    <mergeCell ref="AM79:AM82"/>
    <mergeCell ref="AI83:AI86"/>
    <mergeCell ref="AJ83:AJ86"/>
    <mergeCell ref="AK83:AK86"/>
    <mergeCell ref="AL83:AL86"/>
    <mergeCell ref="AM83:AM86"/>
    <mergeCell ref="AN83:AN86"/>
    <mergeCell ref="AN79:AN82"/>
    <mergeCell ref="AO79:AO82"/>
    <mergeCell ref="AO83:AO86"/>
    <mergeCell ref="AP79:AP82"/>
    <mergeCell ref="AQ79:AQ82"/>
    <mergeCell ref="AR79:AR82"/>
    <mergeCell ref="AS71:AS74"/>
    <mergeCell ref="AP75:AP78"/>
    <mergeCell ref="AQ75:AQ78"/>
    <mergeCell ref="AR75:AR78"/>
    <mergeCell ref="AS75:AS78"/>
    <mergeCell ref="AI71:AI74"/>
    <mergeCell ref="AJ71:AJ74"/>
    <mergeCell ref="AK71:AK74"/>
    <mergeCell ref="AL71:AL74"/>
    <mergeCell ref="AM71:AM74"/>
    <mergeCell ref="AI75:AI78"/>
    <mergeCell ref="AJ75:AJ78"/>
    <mergeCell ref="AK75:AK78"/>
    <mergeCell ref="AL75:AL78"/>
    <mergeCell ref="AM75:AM78"/>
    <mergeCell ref="AN75:AN78"/>
    <mergeCell ref="AN71:AN74"/>
    <mergeCell ref="AO71:AO74"/>
    <mergeCell ref="AO75:AO78"/>
    <mergeCell ref="AP71:AP74"/>
    <mergeCell ref="AQ71:AQ74"/>
    <mergeCell ref="AR71:AR74"/>
    <mergeCell ref="AS67:AS70"/>
    <mergeCell ref="AI63:AI66"/>
    <mergeCell ref="AJ63:AJ66"/>
    <mergeCell ref="AK63:AK66"/>
    <mergeCell ref="AL63:AL66"/>
    <mergeCell ref="AM63:AM66"/>
    <mergeCell ref="AI67:AI70"/>
    <mergeCell ref="AJ67:AJ70"/>
    <mergeCell ref="AK67:AK70"/>
    <mergeCell ref="AL67:AL70"/>
    <mergeCell ref="AM67:AM70"/>
    <mergeCell ref="AN67:AN70"/>
    <mergeCell ref="AN63:AN66"/>
    <mergeCell ref="AO63:AO66"/>
    <mergeCell ref="AN30:AN32"/>
    <mergeCell ref="AO30:AO32"/>
    <mergeCell ref="AP30:AP32"/>
    <mergeCell ref="AQ30:AQ32"/>
    <mergeCell ref="AR30:AR32"/>
    <mergeCell ref="AS30:AS32"/>
    <mergeCell ref="AO42:AO44"/>
    <mergeCell ref="AP42:AP44"/>
    <mergeCell ref="AQ42:AQ44"/>
    <mergeCell ref="AR42:AR44"/>
    <mergeCell ref="AS42:AS44"/>
    <mergeCell ref="AI39:AI41"/>
    <mergeCell ref="AJ39:AJ41"/>
    <mergeCell ref="AK39:AK41"/>
    <mergeCell ref="AL39:AL41"/>
    <mergeCell ref="AM39:AM41"/>
    <mergeCell ref="AI42:AI44"/>
    <mergeCell ref="AI54:AI56"/>
    <mergeCell ref="AP23:AP24"/>
    <mergeCell ref="AQ23:AQ24"/>
    <mergeCell ref="AR23:AR24"/>
    <mergeCell ref="AS23:AS24"/>
    <mergeCell ref="AI25:AI26"/>
    <mergeCell ref="AJ25:AJ26"/>
    <mergeCell ref="AK25:AK26"/>
    <mergeCell ref="AL25:AL26"/>
    <mergeCell ref="AM25:AM26"/>
    <mergeCell ref="AO27:AO29"/>
    <mergeCell ref="AP27:AP29"/>
    <mergeCell ref="AQ27:AQ29"/>
    <mergeCell ref="AR27:AR29"/>
    <mergeCell ref="AS27:AS29"/>
    <mergeCell ref="AI30:AI32"/>
    <mergeCell ref="AJ30:AJ32"/>
    <mergeCell ref="AK30:AK32"/>
    <mergeCell ref="AL30:AL32"/>
    <mergeCell ref="AM30:AM32"/>
    <mergeCell ref="AI27:AI29"/>
    <mergeCell ref="AJ27:AJ29"/>
    <mergeCell ref="AK27:AK29"/>
    <mergeCell ref="AL27:AL29"/>
    <mergeCell ref="AM27:AM29"/>
    <mergeCell ref="AN27:AN29"/>
    <mergeCell ref="AI23:AI24"/>
    <mergeCell ref="AJ23:AJ24"/>
    <mergeCell ref="AK23:AK24"/>
    <mergeCell ref="AL23:AL24"/>
    <mergeCell ref="AM23:AM24"/>
    <mergeCell ref="AN23:AN24"/>
    <mergeCell ref="AT63:AT66"/>
    <mergeCell ref="AN33:AN35"/>
    <mergeCell ref="AP57:AP59"/>
    <mergeCell ref="AQ57:AQ59"/>
    <mergeCell ref="AR57:AR59"/>
    <mergeCell ref="AS57:AS59"/>
    <mergeCell ref="AO60:AO62"/>
    <mergeCell ref="AP60:AP62"/>
    <mergeCell ref="AQ60:AQ62"/>
    <mergeCell ref="AR60:AR62"/>
    <mergeCell ref="AS60:AS62"/>
    <mergeCell ref="AI57:AI59"/>
    <mergeCell ref="AJ57:AJ59"/>
    <mergeCell ref="AK57:AK59"/>
    <mergeCell ref="AL57:AL59"/>
    <mergeCell ref="AM57:AM59"/>
    <mergeCell ref="AI60:AI62"/>
    <mergeCell ref="AO57:AO59"/>
    <mergeCell ref="AN45:AN47"/>
    <mergeCell ref="AO45:AO47"/>
    <mergeCell ref="AJ54:AJ56"/>
    <mergeCell ref="AK54:AK56"/>
    <mergeCell ref="AL54:AL56"/>
    <mergeCell ref="AM54:AM56"/>
    <mergeCell ref="AN54:AN56"/>
    <mergeCell ref="AJ60:AJ62"/>
    <mergeCell ref="AK60:AK62"/>
    <mergeCell ref="AL60:AL62"/>
    <mergeCell ref="AM60:AM62"/>
    <mergeCell ref="AN60:AN62"/>
    <mergeCell ref="AT67:AT70"/>
    <mergeCell ref="AT71:AT74"/>
    <mergeCell ref="AT75:AT78"/>
    <mergeCell ref="AT79:AT82"/>
    <mergeCell ref="AT33:AT35"/>
    <mergeCell ref="AT39:AT41"/>
    <mergeCell ref="AT42:AT44"/>
    <mergeCell ref="AT45:AT47"/>
    <mergeCell ref="AT54:AT56"/>
    <mergeCell ref="AT57:AT59"/>
    <mergeCell ref="AO33:AO35"/>
    <mergeCell ref="AP33:AP35"/>
    <mergeCell ref="AQ33:AQ35"/>
    <mergeCell ref="AR33:AR35"/>
    <mergeCell ref="AS33:AS35"/>
    <mergeCell ref="AP45:AP47"/>
    <mergeCell ref="AQ45:AQ47"/>
    <mergeCell ref="AR45:AR47"/>
    <mergeCell ref="AS45:AS47"/>
    <mergeCell ref="AO54:AO56"/>
    <mergeCell ref="AP54:AP56"/>
    <mergeCell ref="AQ54:AQ56"/>
    <mergeCell ref="AR54:AR56"/>
    <mergeCell ref="AS54:AS56"/>
    <mergeCell ref="AP63:AP66"/>
    <mergeCell ref="AQ63:AQ66"/>
    <mergeCell ref="AR63:AR66"/>
    <mergeCell ref="AS63:AS66"/>
    <mergeCell ref="AO67:AO70"/>
    <mergeCell ref="AP67:AP70"/>
    <mergeCell ref="AQ67:AQ70"/>
    <mergeCell ref="AT60:AT62"/>
    <mergeCell ref="AZ107:AZ113"/>
    <mergeCell ref="BA107:BA113"/>
    <mergeCell ref="BB107:BB113"/>
    <mergeCell ref="BC107:BC113"/>
    <mergeCell ref="BD107:BD113"/>
    <mergeCell ref="BE107:BE113"/>
    <mergeCell ref="AT107:AT113"/>
    <mergeCell ref="AU107:AU113"/>
    <mergeCell ref="AV107:AV113"/>
    <mergeCell ref="AW107:AW113"/>
    <mergeCell ref="AX107:AX113"/>
    <mergeCell ref="AY107:AY113"/>
    <mergeCell ref="AT83:AT86"/>
    <mergeCell ref="AT87:AT88"/>
    <mergeCell ref="AT89:AT90"/>
    <mergeCell ref="AT91:AT92"/>
    <mergeCell ref="AT93:AT99"/>
    <mergeCell ref="AT100:AT106"/>
    <mergeCell ref="AV89:AV90"/>
    <mergeCell ref="AW89:AW90"/>
    <mergeCell ref="AX89:AX90"/>
    <mergeCell ref="AY89:AY90"/>
    <mergeCell ref="AU87:AU88"/>
    <mergeCell ref="AV87:AV88"/>
    <mergeCell ref="AW87:AW88"/>
    <mergeCell ref="AX87:AX88"/>
    <mergeCell ref="AY87:AY88"/>
    <mergeCell ref="AZ87:AZ88"/>
    <mergeCell ref="AZ100:AZ106"/>
    <mergeCell ref="BA100:BA106"/>
    <mergeCell ref="BB100:BB106"/>
    <mergeCell ref="BC100:BC106"/>
    <mergeCell ref="BD100:BD106"/>
    <mergeCell ref="BE100:BE106"/>
    <mergeCell ref="BA93:BA99"/>
    <mergeCell ref="BB93:BB99"/>
    <mergeCell ref="BC93:BC99"/>
    <mergeCell ref="BD93:BD99"/>
    <mergeCell ref="BE93:BE99"/>
    <mergeCell ref="AU100:AU106"/>
    <mergeCell ref="AV100:AV106"/>
    <mergeCell ref="AW100:AW106"/>
    <mergeCell ref="AX100:AX106"/>
    <mergeCell ref="AY100:AY106"/>
    <mergeCell ref="AU93:AU99"/>
    <mergeCell ref="AV93:AV99"/>
    <mergeCell ref="AW93:AW99"/>
    <mergeCell ref="AX93:AX99"/>
    <mergeCell ref="AY93:AY99"/>
    <mergeCell ref="AZ93:AZ99"/>
    <mergeCell ref="BB75:BB78"/>
    <mergeCell ref="BC75:BC78"/>
    <mergeCell ref="BD75:BD78"/>
    <mergeCell ref="BE75:BE78"/>
    <mergeCell ref="BA91:BA92"/>
    <mergeCell ref="BB91:BB92"/>
    <mergeCell ref="BC91:BC92"/>
    <mergeCell ref="BD91:BD92"/>
    <mergeCell ref="BE91:BE92"/>
    <mergeCell ref="AU75:AU78"/>
    <mergeCell ref="AV75:AV78"/>
    <mergeCell ref="AW75:AW78"/>
    <mergeCell ref="AX75:AX78"/>
    <mergeCell ref="AY75:AY78"/>
    <mergeCell ref="AU91:AU92"/>
    <mergeCell ref="AV91:AV92"/>
    <mergeCell ref="AW91:AW92"/>
    <mergeCell ref="AX91:AX92"/>
    <mergeCell ref="AY91:AY92"/>
    <mergeCell ref="AZ91:AZ92"/>
    <mergeCell ref="AZ89:AZ90"/>
    <mergeCell ref="BA89:BA90"/>
    <mergeCell ref="BB89:BB90"/>
    <mergeCell ref="BC89:BC90"/>
    <mergeCell ref="BD89:BD90"/>
    <mergeCell ref="BE89:BE90"/>
    <mergeCell ref="BA87:BA88"/>
    <mergeCell ref="BB87:BB88"/>
    <mergeCell ref="BC87:BC88"/>
    <mergeCell ref="BD87:BD88"/>
    <mergeCell ref="BE87:BE88"/>
    <mergeCell ref="AU89:AU90"/>
    <mergeCell ref="AX67:AX70"/>
    <mergeCell ref="AY67:AY70"/>
    <mergeCell ref="AU63:AU66"/>
    <mergeCell ref="AV63:AV66"/>
    <mergeCell ref="AW63:AW66"/>
    <mergeCell ref="AX63:AX66"/>
    <mergeCell ref="AY63:AY66"/>
    <mergeCell ref="AZ63:AZ66"/>
    <mergeCell ref="AZ83:AZ86"/>
    <mergeCell ref="BA83:BA86"/>
    <mergeCell ref="BB83:BB86"/>
    <mergeCell ref="BC83:BC86"/>
    <mergeCell ref="BD83:BD86"/>
    <mergeCell ref="BE83:BE86"/>
    <mergeCell ref="BA79:BA82"/>
    <mergeCell ref="BB79:BB82"/>
    <mergeCell ref="BC79:BC82"/>
    <mergeCell ref="BD79:BD82"/>
    <mergeCell ref="BE79:BE82"/>
    <mergeCell ref="AU83:AU86"/>
    <mergeCell ref="AV83:AV86"/>
    <mergeCell ref="AW83:AW86"/>
    <mergeCell ref="AX83:AX86"/>
    <mergeCell ref="AY83:AY86"/>
    <mergeCell ref="AU79:AU82"/>
    <mergeCell ref="AV79:AV82"/>
    <mergeCell ref="AW79:AW82"/>
    <mergeCell ref="AX79:AX82"/>
    <mergeCell ref="AY79:AY82"/>
    <mergeCell ref="AZ79:AZ82"/>
    <mergeCell ref="AZ75:AZ78"/>
    <mergeCell ref="BA75:BA78"/>
    <mergeCell ref="BD54:BD56"/>
    <mergeCell ref="BE54:BE56"/>
    <mergeCell ref="BA71:BA74"/>
    <mergeCell ref="BB71:BB74"/>
    <mergeCell ref="BC71:BC74"/>
    <mergeCell ref="BD71:BD74"/>
    <mergeCell ref="BE71:BE74"/>
    <mergeCell ref="AU54:AU56"/>
    <mergeCell ref="AV54:AV56"/>
    <mergeCell ref="AW54:AW56"/>
    <mergeCell ref="AX54:AX56"/>
    <mergeCell ref="AY54:AY56"/>
    <mergeCell ref="AU71:AU74"/>
    <mergeCell ref="AV71:AV74"/>
    <mergeCell ref="AW71:AW74"/>
    <mergeCell ref="AX71:AX74"/>
    <mergeCell ref="AY71:AY74"/>
    <mergeCell ref="AZ71:AZ74"/>
    <mergeCell ref="AZ67:AZ70"/>
    <mergeCell ref="BA67:BA70"/>
    <mergeCell ref="BB67:BB70"/>
    <mergeCell ref="BC67:BC70"/>
    <mergeCell ref="BD67:BD70"/>
    <mergeCell ref="BE67:BE70"/>
    <mergeCell ref="BA63:BA66"/>
    <mergeCell ref="BB63:BB66"/>
    <mergeCell ref="BC63:BC66"/>
    <mergeCell ref="BD63:BD66"/>
    <mergeCell ref="BE63:BE66"/>
    <mergeCell ref="AU67:AU70"/>
    <mergeCell ref="AV67:AV70"/>
    <mergeCell ref="AW67:AW70"/>
    <mergeCell ref="AZ60:AZ62"/>
    <mergeCell ref="BA60:BA62"/>
    <mergeCell ref="BB60:BB62"/>
    <mergeCell ref="BC60:BC62"/>
    <mergeCell ref="BD60:BD62"/>
    <mergeCell ref="BE60:BE62"/>
    <mergeCell ref="BA57:BA59"/>
    <mergeCell ref="BB57:BB59"/>
    <mergeCell ref="BC57:BC59"/>
    <mergeCell ref="BD57:BD59"/>
    <mergeCell ref="BE57:BE59"/>
    <mergeCell ref="AU60:AU62"/>
    <mergeCell ref="AV60:AV62"/>
    <mergeCell ref="AW60:AW62"/>
    <mergeCell ref="AX60:AX62"/>
    <mergeCell ref="AY60:AY62"/>
    <mergeCell ref="AU57:AU59"/>
    <mergeCell ref="AV57:AV59"/>
    <mergeCell ref="AW57:AW59"/>
    <mergeCell ref="AX57:AX59"/>
    <mergeCell ref="AY57:AY59"/>
    <mergeCell ref="AZ57:AZ59"/>
    <mergeCell ref="AZ54:AZ56"/>
    <mergeCell ref="BA54:BA56"/>
    <mergeCell ref="BB54:BB56"/>
    <mergeCell ref="BC54:BC56"/>
    <mergeCell ref="BA45:BA47"/>
    <mergeCell ref="BB45:BB47"/>
    <mergeCell ref="BC45:BC47"/>
    <mergeCell ref="BD45:BD47"/>
    <mergeCell ref="BE45:BE47"/>
    <mergeCell ref="AU27:AU29"/>
    <mergeCell ref="AV27:AV29"/>
    <mergeCell ref="AW27:AW29"/>
    <mergeCell ref="AX27:AX29"/>
    <mergeCell ref="AY27:AY29"/>
    <mergeCell ref="AU45:AU47"/>
    <mergeCell ref="AV45:AV47"/>
    <mergeCell ref="AW45:AW47"/>
    <mergeCell ref="AX45:AX47"/>
    <mergeCell ref="AY45:AY47"/>
    <mergeCell ref="AZ45:AZ47"/>
    <mergeCell ref="AZ42:AZ44"/>
    <mergeCell ref="BA42:BA44"/>
    <mergeCell ref="BB42:BB44"/>
    <mergeCell ref="BC42:BC44"/>
    <mergeCell ref="BD42:BD44"/>
    <mergeCell ref="BE42:BE44"/>
    <mergeCell ref="BA39:BA41"/>
    <mergeCell ref="BB39:BB41"/>
    <mergeCell ref="BC39:BC41"/>
    <mergeCell ref="BD39:BD41"/>
    <mergeCell ref="BE39:BE41"/>
    <mergeCell ref="AU42:AU44"/>
    <mergeCell ref="BC30:BC32"/>
    <mergeCell ref="BD30:BD32"/>
    <mergeCell ref="BE30:BE32"/>
    <mergeCell ref="AU33:AU35"/>
    <mergeCell ref="AV33:AV35"/>
    <mergeCell ref="AW33:AW35"/>
    <mergeCell ref="AX33:AX35"/>
    <mergeCell ref="AY33:AY35"/>
    <mergeCell ref="AU30:AU32"/>
    <mergeCell ref="AV30:AV32"/>
    <mergeCell ref="AW30:AW32"/>
    <mergeCell ref="AX30:AX32"/>
    <mergeCell ref="AY30:AY32"/>
    <mergeCell ref="AZ30:AZ32"/>
    <mergeCell ref="BC25:BC26"/>
    <mergeCell ref="BD25:BD26"/>
    <mergeCell ref="BE25:BE26"/>
    <mergeCell ref="AU25:AU26"/>
    <mergeCell ref="AV25:AV26"/>
    <mergeCell ref="AW25:AW26"/>
    <mergeCell ref="AX25:AX26"/>
    <mergeCell ref="AY25:AY26"/>
    <mergeCell ref="AZ25:AZ26"/>
    <mergeCell ref="BA25:BA26"/>
    <mergeCell ref="BB25:BB26"/>
    <mergeCell ref="AU23:AU24"/>
    <mergeCell ref="AV23:AV24"/>
    <mergeCell ref="AW23:AW24"/>
    <mergeCell ref="AX23:AX24"/>
    <mergeCell ref="AY23:AY24"/>
    <mergeCell ref="AU21:AU22"/>
    <mergeCell ref="AV21:AV22"/>
    <mergeCell ref="AW21:AW22"/>
    <mergeCell ref="BK54:BK62"/>
    <mergeCell ref="BF39:BF47"/>
    <mergeCell ref="BG39:BG47"/>
    <mergeCell ref="BH39:BH47"/>
    <mergeCell ref="BI39:BI47"/>
    <mergeCell ref="BJ39:BJ47"/>
    <mergeCell ref="BK39:BK47"/>
    <mergeCell ref="BF27:BF35"/>
    <mergeCell ref="BG27:BG35"/>
    <mergeCell ref="BH27:BH35"/>
    <mergeCell ref="BI27:BI35"/>
    <mergeCell ref="BJ27:BJ35"/>
    <mergeCell ref="BK27:BK35"/>
    <mergeCell ref="BG21:BG26"/>
    <mergeCell ref="BH21:BH26"/>
    <mergeCell ref="BI21:BI26"/>
    <mergeCell ref="BJ21:BJ26"/>
    <mergeCell ref="BK21:BK26"/>
    <mergeCell ref="AZ27:AZ29"/>
    <mergeCell ref="BA27:BA29"/>
    <mergeCell ref="BB27:BB29"/>
    <mergeCell ref="BC27:BC29"/>
    <mergeCell ref="BD27:BD29"/>
    <mergeCell ref="BE27:BE29"/>
    <mergeCell ref="BF87:BF92"/>
    <mergeCell ref="BG87:BG92"/>
    <mergeCell ref="BH87:BH92"/>
    <mergeCell ref="BI87:BI92"/>
    <mergeCell ref="BJ87:BJ92"/>
    <mergeCell ref="BK87:BK92"/>
    <mergeCell ref="BF75:BF86"/>
    <mergeCell ref="BG75:BG86"/>
    <mergeCell ref="BH75:BH86"/>
    <mergeCell ref="BI75:BI86"/>
    <mergeCell ref="BJ75:BJ86"/>
    <mergeCell ref="BK75:BK86"/>
    <mergeCell ref="BS21:BS26"/>
    <mergeCell ref="BT21:BT26"/>
    <mergeCell ref="BU21:BU26"/>
    <mergeCell ref="BV21:BV26"/>
    <mergeCell ref="BW21:BW26"/>
    <mergeCell ref="BF63:BF74"/>
    <mergeCell ref="BG63:BG74"/>
    <mergeCell ref="BH63:BH74"/>
    <mergeCell ref="BI63:BI74"/>
    <mergeCell ref="BJ63:BJ74"/>
    <mergeCell ref="BK63:BK74"/>
    <mergeCell ref="BF54:BF62"/>
    <mergeCell ref="BG54:BG62"/>
    <mergeCell ref="BH54:BH62"/>
    <mergeCell ref="BI54:BI62"/>
    <mergeCell ref="BJ54:BJ62"/>
    <mergeCell ref="BL21:BL26"/>
    <mergeCell ref="BP63:BP74"/>
    <mergeCell ref="BQ63:BQ74"/>
    <mergeCell ref="BL63:BL74"/>
    <mergeCell ref="BX21:BX26"/>
    <mergeCell ref="BY21:BY26"/>
    <mergeCell ref="BZ21:BZ26"/>
    <mergeCell ref="CA21:CA26"/>
    <mergeCell ref="CB21:CB26"/>
    <mergeCell ref="CC21:CC26"/>
    <mergeCell ref="BR27:BR35"/>
    <mergeCell ref="BR39:BR47"/>
    <mergeCell ref="BR54:BR62"/>
    <mergeCell ref="BR63:BR74"/>
    <mergeCell ref="BR75:BR86"/>
    <mergeCell ref="BR87:BR92"/>
    <mergeCell ref="BS27:BS35"/>
    <mergeCell ref="BT27:BT35"/>
    <mergeCell ref="BU27:BU35"/>
    <mergeCell ref="BV27:BV35"/>
    <mergeCell ref="BW27:BW35"/>
    <mergeCell ref="BX27:BX35"/>
    <mergeCell ref="BY27:BY35"/>
    <mergeCell ref="BZ27:BZ35"/>
    <mergeCell ref="CA27:CA35"/>
    <mergeCell ref="CB27:CB35"/>
    <mergeCell ref="CC27:CC35"/>
    <mergeCell ref="BS39:BS47"/>
    <mergeCell ref="BR21:BR26"/>
    <mergeCell ref="CB36:CB38"/>
    <mergeCell ref="CC36:CC38"/>
    <mergeCell ref="BY36:BY38"/>
    <mergeCell ref="BZ36:BZ38"/>
    <mergeCell ref="CA36:CA38"/>
    <mergeCell ref="BT51:BT53"/>
    <mergeCell ref="BU51:BU53"/>
    <mergeCell ref="CD87:CD92"/>
    <mergeCell ref="BT39:BT47"/>
    <mergeCell ref="BU39:BU47"/>
    <mergeCell ref="BV39:BV47"/>
    <mergeCell ref="BW39:BW47"/>
    <mergeCell ref="BX39:BX47"/>
    <mergeCell ref="BY39:BY47"/>
    <mergeCell ref="BZ39:BZ47"/>
    <mergeCell ref="CA39:CA47"/>
    <mergeCell ref="CB39:CB47"/>
    <mergeCell ref="CC39:CC47"/>
    <mergeCell ref="BS54:BS62"/>
    <mergeCell ref="BT54:BT62"/>
    <mergeCell ref="BU54:BU62"/>
    <mergeCell ref="BV54:BV62"/>
    <mergeCell ref="BW54:BW62"/>
    <mergeCell ref="BX54:BX62"/>
    <mergeCell ref="BY54:BY62"/>
    <mergeCell ref="BZ54:BZ62"/>
    <mergeCell ref="CA54:CA62"/>
    <mergeCell ref="CB54:CB62"/>
    <mergeCell ref="CC54:CC62"/>
    <mergeCell ref="BV51:BV53"/>
    <mergeCell ref="BW51:BW53"/>
    <mergeCell ref="CE4:CE5"/>
    <mergeCell ref="CE6:CE20"/>
    <mergeCell ref="CE21:CE26"/>
    <mergeCell ref="CE27:CE35"/>
    <mergeCell ref="CE54:CE62"/>
    <mergeCell ref="CE63:CE74"/>
    <mergeCell ref="CE93:CE113"/>
    <mergeCell ref="C48:C53"/>
    <mergeCell ref="B6:B53"/>
    <mergeCell ref="CE36:CE47"/>
    <mergeCell ref="CE48:CE53"/>
    <mergeCell ref="CE75:CE92"/>
    <mergeCell ref="AF6:AF113"/>
    <mergeCell ref="H4:S4"/>
    <mergeCell ref="CC75:CC86"/>
    <mergeCell ref="BS87:BS92"/>
    <mergeCell ref="BT87:BT92"/>
    <mergeCell ref="BU87:BU92"/>
    <mergeCell ref="BV87:BV92"/>
    <mergeCell ref="BW87:BW92"/>
    <mergeCell ref="BX87:BX92"/>
    <mergeCell ref="BY87:BY92"/>
    <mergeCell ref="BZ87:BZ92"/>
    <mergeCell ref="CA87:CA92"/>
    <mergeCell ref="CB87:CB92"/>
    <mergeCell ref="CC87:CC92"/>
    <mergeCell ref="CD21:CD26"/>
    <mergeCell ref="CD27:CD35"/>
    <mergeCell ref="CD39:CD47"/>
    <mergeCell ref="CD54:CD62"/>
    <mergeCell ref="CD63:CD74"/>
    <mergeCell ref="CD75:CD86"/>
    <mergeCell ref="CZ54:CZ113"/>
    <mergeCell ref="DA54:DA113"/>
    <mergeCell ref="DB54:DB113"/>
    <mergeCell ref="CF6:CF53"/>
    <mergeCell ref="CG6:CG53"/>
    <mergeCell ref="CH6:CH53"/>
    <mergeCell ref="CI6:CI53"/>
    <mergeCell ref="CJ6:CJ53"/>
    <mergeCell ref="CK6:CK53"/>
    <mergeCell ref="CL6:CL53"/>
    <mergeCell ref="CM6:CM53"/>
    <mergeCell ref="CN6:CN53"/>
    <mergeCell ref="CO6:CO53"/>
    <mergeCell ref="CP6:CP53"/>
    <mergeCell ref="CQ6:CQ53"/>
    <mergeCell ref="CR6:CR53"/>
    <mergeCell ref="CS6:CS53"/>
    <mergeCell ref="CT6:CT53"/>
    <mergeCell ref="CU6:CU53"/>
    <mergeCell ref="CV6:CV53"/>
    <mergeCell ref="DT6:DT113"/>
    <mergeCell ref="DU6:DU113"/>
    <mergeCell ref="DV6:DV113"/>
    <mergeCell ref="DW6:DW113"/>
    <mergeCell ref="CW6:CW53"/>
    <mergeCell ref="CX6:CX53"/>
    <mergeCell ref="CY6:CY53"/>
    <mergeCell ref="CZ6:CZ53"/>
    <mergeCell ref="DA6:DA53"/>
    <mergeCell ref="DB6:DB53"/>
    <mergeCell ref="DC6:DC53"/>
    <mergeCell ref="DD6:DD53"/>
    <mergeCell ref="CF54:CF113"/>
    <mergeCell ref="CG54:CG113"/>
    <mergeCell ref="CH54:CH113"/>
    <mergeCell ref="CI54:CI113"/>
    <mergeCell ref="CJ54:CJ113"/>
    <mergeCell ref="CK54:CK113"/>
    <mergeCell ref="CL54:CL113"/>
    <mergeCell ref="CM54:CM113"/>
    <mergeCell ref="CN54:CN113"/>
    <mergeCell ref="CO54:CO113"/>
    <mergeCell ref="CP54:CP113"/>
    <mergeCell ref="CQ54:CQ113"/>
    <mergeCell ref="CR54:CR113"/>
    <mergeCell ref="CS54:CS113"/>
    <mergeCell ref="CT54:CT113"/>
    <mergeCell ref="CU54:CU113"/>
    <mergeCell ref="CV54:CV113"/>
    <mergeCell ref="CW54:CW113"/>
    <mergeCell ref="CX54:CX113"/>
    <mergeCell ref="CY54:CY113"/>
    <mergeCell ref="DX6:DX113"/>
    <mergeCell ref="DY6:DY113"/>
    <mergeCell ref="DZ6:DZ113"/>
    <mergeCell ref="EA6:EA113"/>
    <mergeCell ref="EB6:EB113"/>
    <mergeCell ref="EE4:EE5"/>
    <mergeCell ref="EF4:EF5"/>
    <mergeCell ref="EE6:EE113"/>
    <mergeCell ref="EF6:EF113"/>
    <mergeCell ref="DC54:DC113"/>
    <mergeCell ref="DD54:DD113"/>
    <mergeCell ref="A4:A5"/>
    <mergeCell ref="A6:A113"/>
    <mergeCell ref="EC4:EC5"/>
    <mergeCell ref="EC6:EC113"/>
    <mergeCell ref="DQ4:EB4"/>
    <mergeCell ref="DE4:DP4"/>
    <mergeCell ref="DE6:DE113"/>
    <mergeCell ref="DF6:DF113"/>
    <mergeCell ref="DG6:DG113"/>
    <mergeCell ref="DH6:DH113"/>
    <mergeCell ref="DI6:DI113"/>
    <mergeCell ref="DJ6:DJ113"/>
    <mergeCell ref="DK6:DK113"/>
    <mergeCell ref="DL6:DL113"/>
    <mergeCell ref="DM6:DM113"/>
    <mergeCell ref="DN6:DN113"/>
    <mergeCell ref="DO6:DO113"/>
    <mergeCell ref="DP6:DP113"/>
    <mergeCell ref="DQ6:DQ113"/>
    <mergeCell ref="DR6:DR113"/>
    <mergeCell ref="DS6:DS113"/>
  </mergeCells>
  <pageMargins left="0.7" right="0.7" top="0.75" bottom="0.75" header="0.3" footer="0.3"/>
  <pageSetup paperSize="9" orientation="portrait" r:id="rId1"/>
  <ignoredErrors>
    <ignoredError sqref="EF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T116"/>
  <sheetViews>
    <sheetView tabSelected="1" zoomScale="40" zoomScaleNormal="40" workbookViewId="0">
      <selection activeCell="C4" sqref="C4:D113"/>
    </sheetView>
  </sheetViews>
  <sheetFormatPr baseColWidth="10" defaultRowHeight="15"/>
  <cols>
    <col min="1" max="1" width="20.140625" customWidth="1"/>
    <col min="2" max="2" width="13.140625" customWidth="1"/>
    <col min="3" max="3" width="30" customWidth="1"/>
    <col min="4" max="4" width="21.42578125" customWidth="1"/>
    <col min="5" max="5" width="15.85546875" customWidth="1"/>
    <col min="6" max="6" width="52.5703125" customWidth="1"/>
    <col min="7" max="7" width="16.7109375" customWidth="1"/>
    <col min="8" max="19" width="14.42578125" customWidth="1"/>
    <col min="20" max="21" width="18.5703125" customWidth="1"/>
    <col min="22" max="69" width="14.42578125" customWidth="1"/>
    <col min="70" max="71" width="27.7109375" customWidth="1"/>
    <col min="72" max="95" width="14.42578125" customWidth="1"/>
    <col min="96" max="96" width="24.140625" customWidth="1"/>
    <col min="97" max="120" width="14.42578125" customWidth="1"/>
    <col min="121" max="121" width="23.42578125" customWidth="1"/>
    <col min="122" max="122" width="4.140625" customWidth="1"/>
    <col min="123" max="124" width="19.5703125" customWidth="1"/>
  </cols>
  <sheetData>
    <row r="2" spans="1:124" ht="84.75" customHeight="1">
      <c r="A2" s="319" t="s">
        <v>268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</row>
    <row r="3" spans="1:124" ht="16.5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4" ht="42" customHeight="1">
      <c r="A4" s="125" t="s">
        <v>247</v>
      </c>
      <c r="B4" s="125" t="s">
        <v>20</v>
      </c>
      <c r="C4" s="188" t="s">
        <v>256</v>
      </c>
      <c r="D4" s="188" t="s">
        <v>7</v>
      </c>
      <c r="E4" s="188" t="s">
        <v>257</v>
      </c>
      <c r="F4" s="256" t="s">
        <v>32</v>
      </c>
      <c r="G4" s="188" t="s">
        <v>0</v>
      </c>
      <c r="H4" s="188" t="s">
        <v>259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9"/>
      <c r="T4" s="111" t="s">
        <v>254</v>
      </c>
      <c r="U4" s="111" t="s">
        <v>258</v>
      </c>
      <c r="V4" s="125" t="s">
        <v>260</v>
      </c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9"/>
      <c r="AH4" s="125" t="s">
        <v>255</v>
      </c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9"/>
      <c r="AT4" s="125" t="s">
        <v>261</v>
      </c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  <c r="BF4" s="125" t="s">
        <v>3</v>
      </c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314"/>
      <c r="BR4" s="111" t="s">
        <v>262</v>
      </c>
      <c r="BS4" s="111" t="s">
        <v>263</v>
      </c>
      <c r="BT4" s="125" t="s">
        <v>264</v>
      </c>
      <c r="BU4" s="188"/>
      <c r="BV4" s="188"/>
      <c r="BW4" s="188"/>
      <c r="BX4" s="188"/>
      <c r="BY4" s="188"/>
      <c r="BZ4" s="188"/>
      <c r="CA4" s="188"/>
      <c r="CB4" s="188"/>
      <c r="CC4" s="188"/>
      <c r="CD4" s="188"/>
      <c r="CE4" s="189"/>
      <c r="CF4" s="125" t="s">
        <v>3</v>
      </c>
      <c r="CG4" s="188"/>
      <c r="CH4" s="188"/>
      <c r="CI4" s="188"/>
      <c r="CJ4" s="188"/>
      <c r="CK4" s="188"/>
      <c r="CL4" s="188"/>
      <c r="CM4" s="188"/>
      <c r="CN4" s="188"/>
      <c r="CO4" s="188"/>
      <c r="CP4" s="188"/>
      <c r="CQ4" s="189"/>
      <c r="CR4" s="111" t="s">
        <v>265</v>
      </c>
      <c r="CS4" s="134" t="s">
        <v>266</v>
      </c>
      <c r="CT4" s="135"/>
      <c r="CU4" s="135"/>
      <c r="CV4" s="135"/>
      <c r="CW4" s="135"/>
      <c r="CX4" s="135"/>
      <c r="CY4" s="135"/>
      <c r="CZ4" s="135"/>
      <c r="DA4" s="135"/>
      <c r="DB4" s="135"/>
      <c r="DC4" s="135"/>
      <c r="DD4" s="136"/>
      <c r="DE4" s="134" t="s">
        <v>251</v>
      </c>
      <c r="DF4" s="135"/>
      <c r="DG4" s="135"/>
      <c r="DH4" s="135"/>
      <c r="DI4" s="135"/>
      <c r="DJ4" s="135"/>
      <c r="DK4" s="135"/>
      <c r="DL4" s="135"/>
      <c r="DM4" s="135"/>
      <c r="DN4" s="135"/>
      <c r="DO4" s="135"/>
      <c r="DP4" s="135"/>
      <c r="DQ4" s="111" t="s">
        <v>267</v>
      </c>
      <c r="DS4" s="111" t="s">
        <v>252</v>
      </c>
      <c r="DT4" s="111" t="s">
        <v>253</v>
      </c>
    </row>
    <row r="5" spans="1:124" ht="33" customHeight="1" thickBot="1">
      <c r="A5" s="126"/>
      <c r="B5" s="126"/>
      <c r="C5" s="283"/>
      <c r="D5" s="283"/>
      <c r="E5" s="283"/>
      <c r="F5" s="257"/>
      <c r="G5" s="283"/>
      <c r="H5" s="12">
        <v>46023</v>
      </c>
      <c r="I5" s="12">
        <v>46054</v>
      </c>
      <c r="J5" s="12">
        <v>46082</v>
      </c>
      <c r="K5" s="12">
        <v>46113</v>
      </c>
      <c r="L5" s="12">
        <v>46143</v>
      </c>
      <c r="M5" s="12">
        <v>46174</v>
      </c>
      <c r="N5" s="12">
        <v>46204</v>
      </c>
      <c r="O5" s="12">
        <v>46235</v>
      </c>
      <c r="P5" s="12">
        <v>46266</v>
      </c>
      <c r="Q5" s="12">
        <v>46296</v>
      </c>
      <c r="R5" s="12">
        <v>46327</v>
      </c>
      <c r="S5" s="13">
        <v>46357</v>
      </c>
      <c r="T5" s="130"/>
      <c r="U5" s="130"/>
      <c r="V5" s="14">
        <v>46023</v>
      </c>
      <c r="W5" s="5">
        <v>46054</v>
      </c>
      <c r="X5" s="5">
        <v>46082</v>
      </c>
      <c r="Y5" s="5">
        <v>46113</v>
      </c>
      <c r="Z5" s="5">
        <v>46143</v>
      </c>
      <c r="AA5" s="5">
        <v>46174</v>
      </c>
      <c r="AB5" s="5">
        <v>46204</v>
      </c>
      <c r="AC5" s="5">
        <v>46235</v>
      </c>
      <c r="AD5" s="5">
        <v>46266</v>
      </c>
      <c r="AE5" s="5">
        <v>46296</v>
      </c>
      <c r="AF5" s="5">
        <v>46327</v>
      </c>
      <c r="AG5" s="15">
        <v>46357</v>
      </c>
      <c r="AH5" s="12">
        <v>46023</v>
      </c>
      <c r="AI5" s="12">
        <v>46054</v>
      </c>
      <c r="AJ5" s="12">
        <v>46082</v>
      </c>
      <c r="AK5" s="12">
        <v>46113</v>
      </c>
      <c r="AL5" s="12">
        <v>46143</v>
      </c>
      <c r="AM5" s="12">
        <v>46174</v>
      </c>
      <c r="AN5" s="12">
        <v>46204</v>
      </c>
      <c r="AO5" s="12">
        <v>46235</v>
      </c>
      <c r="AP5" s="12">
        <v>46266</v>
      </c>
      <c r="AQ5" s="12">
        <v>46296</v>
      </c>
      <c r="AR5" s="12">
        <v>46327</v>
      </c>
      <c r="AS5" s="13">
        <v>46357</v>
      </c>
      <c r="AT5" s="12">
        <v>46023</v>
      </c>
      <c r="AU5" s="12">
        <v>46054</v>
      </c>
      <c r="AV5" s="12">
        <v>46082</v>
      </c>
      <c r="AW5" s="12">
        <v>46113</v>
      </c>
      <c r="AX5" s="12">
        <v>46143</v>
      </c>
      <c r="AY5" s="12">
        <v>46174</v>
      </c>
      <c r="AZ5" s="12">
        <v>46204</v>
      </c>
      <c r="BA5" s="12">
        <v>46235</v>
      </c>
      <c r="BB5" s="12">
        <v>46266</v>
      </c>
      <c r="BC5" s="12">
        <v>46296</v>
      </c>
      <c r="BD5" s="12">
        <v>46327</v>
      </c>
      <c r="BE5" s="13">
        <v>46357</v>
      </c>
      <c r="BF5" s="12">
        <v>46023</v>
      </c>
      <c r="BG5" s="12">
        <v>46054</v>
      </c>
      <c r="BH5" s="12">
        <v>46082</v>
      </c>
      <c r="BI5" s="12">
        <v>46113</v>
      </c>
      <c r="BJ5" s="12">
        <v>46143</v>
      </c>
      <c r="BK5" s="12">
        <v>46174</v>
      </c>
      <c r="BL5" s="12">
        <v>46204</v>
      </c>
      <c r="BM5" s="12">
        <v>46235</v>
      </c>
      <c r="BN5" s="12">
        <v>46266</v>
      </c>
      <c r="BO5" s="12">
        <v>46296</v>
      </c>
      <c r="BP5" s="12">
        <v>46327</v>
      </c>
      <c r="BQ5" s="13">
        <v>46357</v>
      </c>
      <c r="BR5" s="130"/>
      <c r="BS5" s="130"/>
      <c r="BT5" s="12">
        <v>46023</v>
      </c>
      <c r="BU5" s="12">
        <v>46054</v>
      </c>
      <c r="BV5" s="12">
        <v>46082</v>
      </c>
      <c r="BW5" s="12">
        <v>46113</v>
      </c>
      <c r="BX5" s="12">
        <v>46143</v>
      </c>
      <c r="BY5" s="12">
        <v>46174</v>
      </c>
      <c r="BZ5" s="12">
        <v>46204</v>
      </c>
      <c r="CA5" s="12">
        <v>46235</v>
      </c>
      <c r="CB5" s="12">
        <v>46266</v>
      </c>
      <c r="CC5" s="12">
        <v>46296</v>
      </c>
      <c r="CD5" s="12">
        <v>46327</v>
      </c>
      <c r="CE5" s="13">
        <v>46357</v>
      </c>
      <c r="CF5" s="12">
        <v>46023</v>
      </c>
      <c r="CG5" s="12">
        <v>46054</v>
      </c>
      <c r="CH5" s="12">
        <v>46082</v>
      </c>
      <c r="CI5" s="12">
        <v>46113</v>
      </c>
      <c r="CJ5" s="12">
        <v>46143</v>
      </c>
      <c r="CK5" s="12">
        <v>46174</v>
      </c>
      <c r="CL5" s="12">
        <v>46204</v>
      </c>
      <c r="CM5" s="12">
        <v>46235</v>
      </c>
      <c r="CN5" s="12">
        <v>46266</v>
      </c>
      <c r="CO5" s="12">
        <v>46296</v>
      </c>
      <c r="CP5" s="12">
        <v>46327</v>
      </c>
      <c r="CQ5" s="13">
        <v>46357</v>
      </c>
      <c r="CR5" s="130"/>
      <c r="CS5" s="12">
        <v>46023</v>
      </c>
      <c r="CT5" s="12">
        <v>46054</v>
      </c>
      <c r="CU5" s="12">
        <v>46082</v>
      </c>
      <c r="CV5" s="12">
        <v>46113</v>
      </c>
      <c r="CW5" s="12">
        <v>46143</v>
      </c>
      <c r="CX5" s="12">
        <v>46174</v>
      </c>
      <c r="CY5" s="12">
        <v>46204</v>
      </c>
      <c r="CZ5" s="12">
        <v>46235</v>
      </c>
      <c r="DA5" s="12">
        <v>46266</v>
      </c>
      <c r="DB5" s="12">
        <v>46296</v>
      </c>
      <c r="DC5" s="12">
        <v>46327</v>
      </c>
      <c r="DD5" s="13">
        <v>46357</v>
      </c>
      <c r="DE5" s="12">
        <v>46023</v>
      </c>
      <c r="DF5" s="12">
        <v>46054</v>
      </c>
      <c r="DG5" s="12">
        <v>46082</v>
      </c>
      <c r="DH5" s="12">
        <v>46113</v>
      </c>
      <c r="DI5" s="12">
        <v>46143</v>
      </c>
      <c r="DJ5" s="12">
        <v>46174</v>
      </c>
      <c r="DK5" s="12">
        <v>46204</v>
      </c>
      <c r="DL5" s="12">
        <v>46235</v>
      </c>
      <c r="DM5" s="12">
        <v>46266</v>
      </c>
      <c r="DN5" s="12">
        <v>46296</v>
      </c>
      <c r="DO5" s="12">
        <v>46327</v>
      </c>
      <c r="DP5" s="13">
        <v>46357</v>
      </c>
      <c r="DQ5" s="130"/>
      <c r="DS5" s="112"/>
      <c r="DT5" s="112"/>
    </row>
    <row r="6" spans="1:124" ht="20.25" customHeight="1">
      <c r="A6" s="127" t="s">
        <v>248</v>
      </c>
      <c r="B6" s="127" t="s">
        <v>21</v>
      </c>
      <c r="C6" s="284" t="s">
        <v>8</v>
      </c>
      <c r="D6" s="324" t="s">
        <v>9</v>
      </c>
      <c r="E6" s="325" t="s">
        <v>4</v>
      </c>
      <c r="F6" s="8" t="s">
        <v>43</v>
      </c>
      <c r="G6" s="9" t="s">
        <v>27</v>
      </c>
      <c r="H6" s="64"/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  <c r="T6" s="185">
        <v>28</v>
      </c>
      <c r="U6" s="321">
        <v>28</v>
      </c>
      <c r="V6" s="137">
        <f>IFERROR((SUM(H6:H10)/COUNTIF(H6:H10,"&gt;0")),0)</f>
        <v>10.87</v>
      </c>
      <c r="W6" s="140">
        <f>IFERROR((SUM(I6:I10)/COUNTIF(I6:I10,"&gt;0")),0)</f>
        <v>10.87</v>
      </c>
      <c r="X6" s="140">
        <f>IFERROR((SUM(J6:J10)/COUNTIF(J6:J10,"&gt;0")),0)</f>
        <v>15.49</v>
      </c>
      <c r="Y6" s="140">
        <f>IFERROR((SUM(K6:K10)/COUNTIF(K6:K10,"&gt;0")),0)</f>
        <v>11.47</v>
      </c>
      <c r="Z6" s="140">
        <f>IFERROR((SUM(L6:L10)/COUNTIF(L6:L10,"&gt;0")),0)</f>
        <v>12.07</v>
      </c>
      <c r="AA6" s="140">
        <f t="shared" ref="AA6:AF6" si="0">IFERROR((SUM(M6:M10)/COUNTIF(M6:M10,"&gt;0")),0)</f>
        <v>19.48</v>
      </c>
      <c r="AB6" s="140">
        <f t="shared" si="0"/>
        <v>17.12</v>
      </c>
      <c r="AC6" s="140">
        <f t="shared" si="0"/>
        <v>0</v>
      </c>
      <c r="AD6" s="140">
        <f t="shared" si="0"/>
        <v>0</v>
      </c>
      <c r="AE6" s="140">
        <f t="shared" si="0"/>
        <v>0</v>
      </c>
      <c r="AF6" s="140">
        <f t="shared" si="0"/>
        <v>0</v>
      </c>
      <c r="AG6" s="143">
        <f>IFERROR((SUM(S6:S10)/COUNTIF(S6:S10,"&gt;0")),0)</f>
        <v>0</v>
      </c>
      <c r="AH6" s="320">
        <v>3259</v>
      </c>
      <c r="AI6" s="308">
        <v>3257</v>
      </c>
      <c r="AJ6" s="308">
        <v>3249</v>
      </c>
      <c r="AK6" s="308">
        <v>3258</v>
      </c>
      <c r="AL6" s="308">
        <v>3262</v>
      </c>
      <c r="AM6" s="308">
        <v>3262</v>
      </c>
      <c r="AN6" s="308">
        <v>3278</v>
      </c>
      <c r="AO6" s="308"/>
      <c r="AP6" s="308"/>
      <c r="AQ6" s="308"/>
      <c r="AR6" s="308"/>
      <c r="AS6" s="309"/>
      <c r="AT6" s="137">
        <f>IFERROR(((V6*AH6)+(V11*AH11)+(V16*AH16))/(SUM(AH6:AH20)),0)</f>
        <v>14.516117899249732</v>
      </c>
      <c r="AU6" s="140">
        <f t="shared" ref="AU6:BE6" si="1">IFERROR(((W6*AI6)+(W11*AI11)+(W16*AI16))/SUM(AI6:AI20),0)</f>
        <v>14.517681749946385</v>
      </c>
      <c r="AV6" s="140">
        <f t="shared" si="1"/>
        <v>24.177926435792646</v>
      </c>
      <c r="AW6" s="140">
        <f t="shared" si="1"/>
        <v>15.145943680137577</v>
      </c>
      <c r="AX6" s="140">
        <f t="shared" si="1"/>
        <v>18.973906014227207</v>
      </c>
      <c r="AY6" s="140">
        <f t="shared" si="1"/>
        <v>20.707604301075271</v>
      </c>
      <c r="AZ6" s="140">
        <f t="shared" si="1"/>
        <v>18.870942587832047</v>
      </c>
      <c r="BA6" s="140">
        <f t="shared" si="1"/>
        <v>0</v>
      </c>
      <c r="BB6" s="140">
        <f t="shared" si="1"/>
        <v>0</v>
      </c>
      <c r="BC6" s="140">
        <f t="shared" si="1"/>
        <v>0</v>
      </c>
      <c r="BD6" s="140">
        <f t="shared" si="1"/>
        <v>0</v>
      </c>
      <c r="BE6" s="143">
        <f t="shared" si="1"/>
        <v>0</v>
      </c>
      <c r="BF6" s="105">
        <f>SUM(AH6:AH20)</f>
        <v>4665</v>
      </c>
      <c r="BG6" s="298">
        <f t="shared" ref="BG6:BQ6" si="2">SUM(AI6:AI20)</f>
        <v>4663</v>
      </c>
      <c r="BH6" s="298">
        <f t="shared" si="2"/>
        <v>4649</v>
      </c>
      <c r="BI6" s="298">
        <f t="shared" si="2"/>
        <v>4652</v>
      </c>
      <c r="BJ6" s="298">
        <f>SUM(AL6:AL20)</f>
        <v>4639</v>
      </c>
      <c r="BK6" s="298">
        <f t="shared" si="2"/>
        <v>4650</v>
      </c>
      <c r="BL6" s="298">
        <f t="shared" si="2"/>
        <v>4668</v>
      </c>
      <c r="BM6" s="298">
        <f t="shared" si="2"/>
        <v>0</v>
      </c>
      <c r="BN6" s="298">
        <f t="shared" si="2"/>
        <v>0</v>
      </c>
      <c r="BO6" s="298">
        <f t="shared" si="2"/>
        <v>0</v>
      </c>
      <c r="BP6" s="298">
        <f t="shared" si="2"/>
        <v>0</v>
      </c>
      <c r="BQ6" s="316">
        <f t="shared" si="2"/>
        <v>0</v>
      </c>
      <c r="BR6" s="252">
        <f>IFERROR(((AT6*BF6)+(AU6*BG6)+(AV6*BH6)+(AW6*BI6)+(AX6*BJ6)+(AY6*BK6)+(AZ6*BL6)+(BA6*BM6)+(BB6*BN6)+(BC6*BO6)+(BD6*BP6)+(BE6*BQ6))/(SUM(BF6:BQ20)),0)</f>
        <v>18.126668507948203</v>
      </c>
      <c r="BS6" s="176">
        <f>BR6</f>
        <v>18.126668507948203</v>
      </c>
      <c r="BT6" s="164">
        <f t="shared" ref="BT6:CE6" si="3">IFERROR((((AT6*BF6)+(AT21*BF21)+(AT27*BF27)+(AT36*BF36)+(AT39*BF39)+(AT48*BF48)+(AT51*BF51))/SUM(BF6:BF53)),0)</f>
        <v>22.828019148233743</v>
      </c>
      <c r="BU6" s="167">
        <f>IFERROR((((AU6*BG6)+(AU21*BG21)+(AU27*BG27)+(AU36*BG36)+(AU39*BG39)+(AU48*BG48)+(AU51*BG51))/SUM(BG6:BG53)),0)</f>
        <v>22.792642482735669</v>
      </c>
      <c r="BV6" s="167">
        <f t="shared" si="3"/>
        <v>25.176457987379614</v>
      </c>
      <c r="BW6" s="167">
        <f t="shared" si="3"/>
        <v>23.417969949916529</v>
      </c>
      <c r="BX6" s="167">
        <f t="shared" si="3"/>
        <v>26.437976051887581</v>
      </c>
      <c r="BY6" s="167">
        <f t="shared" si="3"/>
        <v>28.587028179613682</v>
      </c>
      <c r="BZ6" s="167">
        <f t="shared" si="3"/>
        <v>28.451928879310344</v>
      </c>
      <c r="CA6" s="167">
        <f t="shared" si="3"/>
        <v>0</v>
      </c>
      <c r="CB6" s="167">
        <f t="shared" si="3"/>
        <v>0</v>
      </c>
      <c r="CC6" s="167">
        <f t="shared" si="3"/>
        <v>0</v>
      </c>
      <c r="CD6" s="167">
        <f t="shared" si="3"/>
        <v>0</v>
      </c>
      <c r="CE6" s="170">
        <f t="shared" si="3"/>
        <v>0</v>
      </c>
      <c r="CF6" s="173">
        <f>BF6+BF21+BF27+BF36+BF39+BF48+BF51</f>
        <v>12116</v>
      </c>
      <c r="CG6" s="146">
        <f t="shared" ref="CG6:CP6" si="4">BG6+BG21+BG27+BG36+BG39+BG48+BG51</f>
        <v>12019</v>
      </c>
      <c r="CH6" s="146">
        <f>BH6+BH21+BH27+BH36+BH39+BH48+BH51</f>
        <v>12044</v>
      </c>
      <c r="CI6" s="146">
        <f t="shared" si="4"/>
        <v>11980</v>
      </c>
      <c r="CJ6" s="146">
        <f t="shared" si="4"/>
        <v>12026</v>
      </c>
      <c r="CK6" s="146">
        <f t="shared" si="4"/>
        <v>11959</v>
      </c>
      <c r="CL6" s="146">
        <f t="shared" si="4"/>
        <v>12064</v>
      </c>
      <c r="CM6" s="146">
        <f t="shared" si="4"/>
        <v>0</v>
      </c>
      <c r="CN6" s="146">
        <f t="shared" si="4"/>
        <v>0</v>
      </c>
      <c r="CO6" s="146">
        <f t="shared" si="4"/>
        <v>0</v>
      </c>
      <c r="CP6" s="146">
        <f t="shared" si="4"/>
        <v>0</v>
      </c>
      <c r="CQ6" s="149">
        <f>BQ6+BQ21+BQ27+BQ36+BQ39+BQ48+BQ51</f>
        <v>0</v>
      </c>
      <c r="CR6" s="152">
        <f>IFERROR((((BT6*CF6)+(BU6*CG6)+(BV6*CH6)+(BW6*CI6)+(BX6*CJ6)+(BY6*CK6)+(BZ6*CL6)+(CA6*CM6)+(CB6*CN6)+(CC6*CO6)+(CD6*CP6)+(CE6*CQ6))/SUM(CF6:CQ53)),0)</f>
        <v>25.381923688960672</v>
      </c>
      <c r="CS6" s="137">
        <f t="shared" ref="CS6:DD6" si="5">IFERROR(((BT6*CF6)+(BT54*CF54))/(SUM(CF6:CF113)),0)</f>
        <v>22.861863744917059</v>
      </c>
      <c r="CT6" s="140">
        <f>IFERROR(((BU6*CG6)+(BU54*CG54))/(SUM(CG6:CG113)),0)</f>
        <v>22.438163490928009</v>
      </c>
      <c r="CU6" s="140">
        <f t="shared" si="5"/>
        <v>24.297142995951418</v>
      </c>
      <c r="CV6" s="140">
        <f t="shared" si="5"/>
        <v>23.525989904835392</v>
      </c>
      <c r="CW6" s="140">
        <f t="shared" si="5"/>
        <v>26.315912098449733</v>
      </c>
      <c r="CX6" s="140">
        <f t="shared" si="5"/>
        <v>26.659942702530643</v>
      </c>
      <c r="CY6" s="140">
        <f t="shared" si="5"/>
        <v>26.191924634070382</v>
      </c>
      <c r="CZ6" s="140">
        <f t="shared" si="5"/>
        <v>0</v>
      </c>
      <c r="DA6" s="140">
        <f t="shared" si="5"/>
        <v>0</v>
      </c>
      <c r="DB6" s="140">
        <f t="shared" si="5"/>
        <v>0</v>
      </c>
      <c r="DC6" s="140">
        <f t="shared" si="5"/>
        <v>0</v>
      </c>
      <c r="DD6" s="143">
        <f t="shared" si="5"/>
        <v>0</v>
      </c>
      <c r="DE6" s="105">
        <f>CF6+CF54</f>
        <v>30986</v>
      </c>
      <c r="DF6" s="105">
        <f t="shared" ref="DF6:DP6" si="6">CG6+CG54</f>
        <v>30754</v>
      </c>
      <c r="DG6" s="105">
        <f t="shared" si="6"/>
        <v>30875</v>
      </c>
      <c r="DH6" s="105">
        <f t="shared" si="6"/>
        <v>31104</v>
      </c>
      <c r="DI6" s="105">
        <f t="shared" si="6"/>
        <v>31285</v>
      </c>
      <c r="DJ6" s="105">
        <f t="shared" si="6"/>
        <v>31415</v>
      </c>
      <c r="DK6" s="105">
        <f t="shared" si="6"/>
        <v>32110</v>
      </c>
      <c r="DL6" s="105">
        <f t="shared" si="6"/>
        <v>0</v>
      </c>
      <c r="DM6" s="105">
        <f t="shared" si="6"/>
        <v>0</v>
      </c>
      <c r="DN6" s="105">
        <f t="shared" si="6"/>
        <v>0</v>
      </c>
      <c r="DO6" s="105">
        <f t="shared" si="6"/>
        <v>0</v>
      </c>
      <c r="DP6" s="108">
        <f t="shared" si="6"/>
        <v>0</v>
      </c>
      <c r="DQ6" s="131">
        <f>IFERROR(((CS6*DE6)+(CT6*DF6)+(CU6*DG6)+(CV6*DH6)+(CW6*DI6)+(CX6*DJ6)+(CY6*DK6)+(CZ6*DL6)+(DA6*DM6)+(DB6*DN6)+(DC6*DO6)+(DD6*DP6))/(SUM(DE6:DP113)),0)</f>
        <v>24.629343382342849</v>
      </c>
      <c r="DS6" s="113">
        <f>IF(DQ6/T6&gt;1,1,DQ6/T6)</f>
        <v>0.87961940651224457</v>
      </c>
      <c r="DT6" s="116">
        <f>IF(DQ6/28&gt;1,1,DQ6/28)</f>
        <v>0.87961940651224457</v>
      </c>
    </row>
    <row r="7" spans="1:124" ht="20.25" customHeight="1">
      <c r="A7" s="128"/>
      <c r="B7" s="128"/>
      <c r="C7" s="285"/>
      <c r="D7" s="287"/>
      <c r="E7" s="326"/>
      <c r="F7" s="2" t="s">
        <v>44</v>
      </c>
      <c r="G7" s="3" t="s">
        <v>28</v>
      </c>
      <c r="H7" s="67"/>
      <c r="I7" s="68"/>
      <c r="J7" s="68"/>
      <c r="K7" s="68"/>
      <c r="L7" s="68"/>
      <c r="M7" s="68"/>
      <c r="N7" s="68"/>
      <c r="O7" s="68"/>
      <c r="P7" s="68"/>
      <c r="Q7" s="68"/>
      <c r="R7" s="68"/>
      <c r="S7" s="69"/>
      <c r="T7" s="186"/>
      <c r="U7" s="322"/>
      <c r="V7" s="138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4"/>
      <c r="AH7" s="29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1"/>
      <c r="AT7" s="138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4"/>
      <c r="BF7" s="106"/>
      <c r="BG7" s="299"/>
      <c r="BH7" s="299"/>
      <c r="BI7" s="299"/>
      <c r="BJ7" s="299"/>
      <c r="BK7" s="299"/>
      <c r="BL7" s="299"/>
      <c r="BM7" s="299"/>
      <c r="BN7" s="299"/>
      <c r="BO7" s="299"/>
      <c r="BP7" s="299"/>
      <c r="BQ7" s="317"/>
      <c r="BR7" s="202"/>
      <c r="BS7" s="177"/>
      <c r="BT7" s="165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71"/>
      <c r="CF7" s="174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50"/>
      <c r="CR7" s="153"/>
      <c r="CS7" s="138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4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6"/>
      <c r="DP7" s="109"/>
      <c r="DQ7" s="132"/>
      <c r="DS7" s="114"/>
      <c r="DT7" s="117"/>
    </row>
    <row r="8" spans="1:124" ht="20.25" customHeight="1">
      <c r="A8" s="128"/>
      <c r="B8" s="128"/>
      <c r="C8" s="285"/>
      <c r="D8" s="287"/>
      <c r="E8" s="326"/>
      <c r="F8" s="2" t="s">
        <v>46</v>
      </c>
      <c r="G8" s="3" t="s">
        <v>29</v>
      </c>
      <c r="H8" s="67"/>
      <c r="I8" s="68"/>
      <c r="J8" s="68"/>
      <c r="K8" s="68"/>
      <c r="L8" s="68"/>
      <c r="M8" s="68"/>
      <c r="N8" s="68"/>
      <c r="O8" s="68"/>
      <c r="P8" s="68"/>
      <c r="Q8" s="68"/>
      <c r="R8" s="68"/>
      <c r="S8" s="69"/>
      <c r="T8" s="186"/>
      <c r="U8" s="322"/>
      <c r="V8" s="138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4"/>
      <c r="AH8" s="297"/>
      <c r="AI8" s="307"/>
      <c r="AJ8" s="307"/>
      <c r="AK8" s="307"/>
      <c r="AL8" s="307"/>
      <c r="AM8" s="307"/>
      <c r="AN8" s="307"/>
      <c r="AO8" s="307"/>
      <c r="AP8" s="307"/>
      <c r="AQ8" s="307"/>
      <c r="AR8" s="307"/>
      <c r="AS8" s="301"/>
      <c r="AT8" s="138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4"/>
      <c r="BF8" s="106"/>
      <c r="BG8" s="299"/>
      <c r="BH8" s="299"/>
      <c r="BI8" s="299"/>
      <c r="BJ8" s="299"/>
      <c r="BK8" s="299"/>
      <c r="BL8" s="299"/>
      <c r="BM8" s="299"/>
      <c r="BN8" s="299"/>
      <c r="BO8" s="299"/>
      <c r="BP8" s="299"/>
      <c r="BQ8" s="317"/>
      <c r="BR8" s="202"/>
      <c r="BS8" s="177"/>
      <c r="BT8" s="165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71"/>
      <c r="CF8" s="174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50"/>
      <c r="CR8" s="153"/>
      <c r="CS8" s="138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4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9"/>
      <c r="DQ8" s="132"/>
      <c r="DS8" s="114"/>
      <c r="DT8" s="117"/>
    </row>
    <row r="9" spans="1:124" ht="20.25" customHeight="1">
      <c r="A9" s="128"/>
      <c r="B9" s="128"/>
      <c r="C9" s="285"/>
      <c r="D9" s="287"/>
      <c r="E9" s="326"/>
      <c r="F9" s="76" t="s">
        <v>45</v>
      </c>
      <c r="G9" s="77" t="s">
        <v>30</v>
      </c>
      <c r="H9" s="67"/>
      <c r="I9" s="68"/>
      <c r="J9" s="68"/>
      <c r="K9" s="68"/>
      <c r="L9" s="68"/>
      <c r="M9" s="68"/>
      <c r="N9" s="68"/>
      <c r="O9" s="68"/>
      <c r="P9" s="68"/>
      <c r="Q9" s="68"/>
      <c r="R9" s="68"/>
      <c r="S9" s="69"/>
      <c r="T9" s="186"/>
      <c r="U9" s="322"/>
      <c r="V9" s="138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4"/>
      <c r="AH9" s="29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1"/>
      <c r="AT9" s="138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4"/>
      <c r="BF9" s="106"/>
      <c r="BG9" s="299"/>
      <c r="BH9" s="299"/>
      <c r="BI9" s="299"/>
      <c r="BJ9" s="299"/>
      <c r="BK9" s="299"/>
      <c r="BL9" s="299"/>
      <c r="BM9" s="299"/>
      <c r="BN9" s="299"/>
      <c r="BO9" s="299"/>
      <c r="BP9" s="299"/>
      <c r="BQ9" s="317"/>
      <c r="BR9" s="202"/>
      <c r="BS9" s="177"/>
      <c r="BT9" s="165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71"/>
      <c r="CF9" s="174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50"/>
      <c r="CR9" s="153"/>
      <c r="CS9" s="138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4"/>
      <c r="DE9" s="106"/>
      <c r="DF9" s="106"/>
      <c r="DG9" s="106"/>
      <c r="DH9" s="106"/>
      <c r="DI9" s="106"/>
      <c r="DJ9" s="106"/>
      <c r="DK9" s="106"/>
      <c r="DL9" s="106"/>
      <c r="DM9" s="106"/>
      <c r="DN9" s="106"/>
      <c r="DO9" s="106"/>
      <c r="DP9" s="109"/>
      <c r="DQ9" s="132"/>
      <c r="DS9" s="114"/>
      <c r="DT9" s="117"/>
    </row>
    <row r="10" spans="1:124" ht="20.25" customHeight="1">
      <c r="A10" s="128"/>
      <c r="B10" s="128"/>
      <c r="C10" s="285"/>
      <c r="D10" s="287"/>
      <c r="E10" s="326"/>
      <c r="F10" s="2" t="s">
        <v>47</v>
      </c>
      <c r="G10" s="3" t="s">
        <v>31</v>
      </c>
      <c r="H10" s="67">
        <v>10.87</v>
      </c>
      <c r="I10" s="68">
        <v>10.87</v>
      </c>
      <c r="J10" s="68">
        <v>15.49</v>
      </c>
      <c r="K10" s="68">
        <v>11.47</v>
      </c>
      <c r="L10" s="68">
        <v>12.07</v>
      </c>
      <c r="M10" s="68">
        <v>19.48</v>
      </c>
      <c r="N10" s="68">
        <v>17.12</v>
      </c>
      <c r="O10" s="68"/>
      <c r="P10" s="68"/>
      <c r="Q10" s="68"/>
      <c r="R10" s="68"/>
      <c r="S10" s="69"/>
      <c r="T10" s="186"/>
      <c r="U10" s="322"/>
      <c r="V10" s="138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4"/>
      <c r="AH10" s="29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1"/>
      <c r="AT10" s="138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4"/>
      <c r="BF10" s="106"/>
      <c r="BG10" s="299"/>
      <c r="BH10" s="299"/>
      <c r="BI10" s="299"/>
      <c r="BJ10" s="299"/>
      <c r="BK10" s="299"/>
      <c r="BL10" s="299"/>
      <c r="BM10" s="299"/>
      <c r="BN10" s="299"/>
      <c r="BO10" s="299"/>
      <c r="BP10" s="299"/>
      <c r="BQ10" s="317"/>
      <c r="BR10" s="202"/>
      <c r="BS10" s="177"/>
      <c r="BT10" s="165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71"/>
      <c r="CF10" s="174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50"/>
      <c r="CR10" s="153"/>
      <c r="CS10" s="138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4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9"/>
      <c r="DQ10" s="132"/>
      <c r="DS10" s="114"/>
      <c r="DT10" s="117"/>
    </row>
    <row r="11" spans="1:124" ht="20.25" customHeight="1">
      <c r="A11" s="128"/>
      <c r="B11" s="128"/>
      <c r="C11" s="285"/>
      <c r="D11" s="287"/>
      <c r="E11" s="315" t="s">
        <v>5</v>
      </c>
      <c r="F11" s="2" t="s">
        <v>48</v>
      </c>
      <c r="G11" s="3" t="s">
        <v>33</v>
      </c>
      <c r="H11" s="67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9"/>
      <c r="T11" s="186"/>
      <c r="U11" s="322"/>
      <c r="V11" s="138">
        <f>IFERROR((SUM(H11:H15)/COUNTIF(H11:H15,"&gt;0")),0)</f>
        <v>16.100000000000001</v>
      </c>
      <c r="W11" s="141">
        <f>IFERROR((SUM(I12:I15)/COUNTIF(I12:I15,"&gt;0")),0)</f>
        <v>16.100000000000001</v>
      </c>
      <c r="X11" s="141">
        <f>IFERROR((SUM(J12:J15)/COUNTIF(J12:J15,"&gt;0")),0)</f>
        <v>45.43</v>
      </c>
      <c r="Y11" s="141">
        <f>IFERROR((SUM(K12:K15)/COUNTIF(K12:K15,"&gt;0")),0)</f>
        <v>18.73</v>
      </c>
      <c r="Z11" s="141">
        <f>IFERROR((SUM(L12:L15)/COUNTIF(L12:L15,"&gt;0")),0)</f>
        <v>38.17</v>
      </c>
      <c r="AA11" s="141">
        <f>IFERROR((SUM(M12:M15)/COUNTIF(M12:M15,"&gt;0")),0)</f>
        <v>18.760000000000002</v>
      </c>
      <c r="AB11" s="141">
        <f t="shared" ref="AB11:AG11" si="7">IFERROR((SUM(N11:N15)/COUNTIF(N11:N15,"&gt;0")),0)</f>
        <v>19.59</v>
      </c>
      <c r="AC11" s="141">
        <f t="shared" si="7"/>
        <v>0</v>
      </c>
      <c r="AD11" s="141">
        <f t="shared" si="7"/>
        <v>0</v>
      </c>
      <c r="AE11" s="141">
        <f t="shared" si="7"/>
        <v>0</v>
      </c>
      <c r="AF11" s="141">
        <f t="shared" si="7"/>
        <v>0</v>
      </c>
      <c r="AG11" s="144">
        <f t="shared" si="7"/>
        <v>0</v>
      </c>
      <c r="AH11" s="297">
        <v>858</v>
      </c>
      <c r="AI11" s="307">
        <v>858</v>
      </c>
      <c r="AJ11" s="307">
        <v>857</v>
      </c>
      <c r="AK11" s="307">
        <v>855</v>
      </c>
      <c r="AL11" s="307">
        <v>849</v>
      </c>
      <c r="AM11" s="307">
        <v>859</v>
      </c>
      <c r="AN11" s="307">
        <v>855</v>
      </c>
      <c r="AO11" s="307"/>
      <c r="AP11" s="307"/>
      <c r="AQ11" s="307"/>
      <c r="AR11" s="307"/>
      <c r="AS11" s="301"/>
      <c r="AT11" s="138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4"/>
      <c r="BF11" s="106"/>
      <c r="BG11" s="299"/>
      <c r="BH11" s="299"/>
      <c r="BI11" s="299"/>
      <c r="BJ11" s="299"/>
      <c r="BK11" s="299"/>
      <c r="BL11" s="299"/>
      <c r="BM11" s="299"/>
      <c r="BN11" s="299"/>
      <c r="BO11" s="299"/>
      <c r="BP11" s="299"/>
      <c r="BQ11" s="317"/>
      <c r="BR11" s="202"/>
      <c r="BS11" s="177"/>
      <c r="BT11" s="165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71"/>
      <c r="CF11" s="174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50"/>
      <c r="CR11" s="153"/>
      <c r="CS11" s="138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4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9"/>
      <c r="DQ11" s="132"/>
      <c r="DS11" s="114"/>
      <c r="DT11" s="117"/>
    </row>
    <row r="12" spans="1:124" ht="20.25" customHeight="1">
      <c r="A12" s="128"/>
      <c r="B12" s="128"/>
      <c r="C12" s="285"/>
      <c r="D12" s="287"/>
      <c r="E12" s="315"/>
      <c r="F12" s="2" t="s">
        <v>49</v>
      </c>
      <c r="G12" s="3" t="s">
        <v>34</v>
      </c>
      <c r="H12" s="67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9"/>
      <c r="T12" s="186"/>
      <c r="U12" s="322"/>
      <c r="V12" s="138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4"/>
      <c r="AH12" s="29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1"/>
      <c r="AT12" s="138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4"/>
      <c r="BF12" s="106"/>
      <c r="BG12" s="299"/>
      <c r="BH12" s="299"/>
      <c r="BI12" s="299"/>
      <c r="BJ12" s="299"/>
      <c r="BK12" s="299"/>
      <c r="BL12" s="299"/>
      <c r="BM12" s="299"/>
      <c r="BN12" s="299"/>
      <c r="BO12" s="299"/>
      <c r="BP12" s="299"/>
      <c r="BQ12" s="317"/>
      <c r="BR12" s="202"/>
      <c r="BS12" s="177"/>
      <c r="BT12" s="165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71"/>
      <c r="CF12" s="174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50"/>
      <c r="CR12" s="153"/>
      <c r="CS12" s="138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4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9"/>
      <c r="DQ12" s="132"/>
      <c r="DS12" s="114"/>
      <c r="DT12" s="117"/>
    </row>
    <row r="13" spans="1:124" ht="20.25" customHeight="1">
      <c r="A13" s="128"/>
      <c r="B13" s="128"/>
      <c r="C13" s="285"/>
      <c r="D13" s="287"/>
      <c r="E13" s="315"/>
      <c r="F13" s="2" t="s">
        <v>50</v>
      </c>
      <c r="G13" s="3" t="s">
        <v>35</v>
      </c>
      <c r="H13" s="67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9"/>
      <c r="T13" s="186"/>
      <c r="U13" s="322"/>
      <c r="V13" s="138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4"/>
      <c r="AH13" s="29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1"/>
      <c r="AT13" s="138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4"/>
      <c r="BF13" s="106"/>
      <c r="BG13" s="299"/>
      <c r="BH13" s="299"/>
      <c r="BI13" s="299"/>
      <c r="BJ13" s="299"/>
      <c r="BK13" s="299"/>
      <c r="BL13" s="299"/>
      <c r="BM13" s="299"/>
      <c r="BN13" s="299"/>
      <c r="BO13" s="299"/>
      <c r="BP13" s="299"/>
      <c r="BQ13" s="317"/>
      <c r="BR13" s="202"/>
      <c r="BS13" s="177"/>
      <c r="BT13" s="165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71"/>
      <c r="CF13" s="174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50"/>
      <c r="CR13" s="153"/>
      <c r="CS13" s="138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4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9"/>
      <c r="DQ13" s="132"/>
      <c r="DS13" s="114"/>
      <c r="DT13" s="117"/>
    </row>
    <row r="14" spans="1:124" ht="20.25" customHeight="1">
      <c r="A14" s="128"/>
      <c r="B14" s="128"/>
      <c r="C14" s="285"/>
      <c r="D14" s="287"/>
      <c r="E14" s="315"/>
      <c r="F14" s="2" t="s">
        <v>51</v>
      </c>
      <c r="G14" s="3" t="s">
        <v>36</v>
      </c>
      <c r="H14" s="67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9"/>
      <c r="T14" s="186"/>
      <c r="U14" s="322"/>
      <c r="V14" s="138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4"/>
      <c r="AH14" s="297"/>
      <c r="AI14" s="307"/>
      <c r="AJ14" s="307"/>
      <c r="AK14" s="307"/>
      <c r="AL14" s="307"/>
      <c r="AM14" s="307"/>
      <c r="AN14" s="307"/>
      <c r="AO14" s="307"/>
      <c r="AP14" s="307"/>
      <c r="AQ14" s="307"/>
      <c r="AR14" s="307"/>
      <c r="AS14" s="301"/>
      <c r="AT14" s="138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4"/>
      <c r="BF14" s="106"/>
      <c r="BG14" s="299"/>
      <c r="BH14" s="299"/>
      <c r="BI14" s="299"/>
      <c r="BJ14" s="299"/>
      <c r="BK14" s="299"/>
      <c r="BL14" s="299"/>
      <c r="BM14" s="299"/>
      <c r="BN14" s="299"/>
      <c r="BO14" s="299"/>
      <c r="BP14" s="299"/>
      <c r="BQ14" s="317"/>
      <c r="BR14" s="202"/>
      <c r="BS14" s="177"/>
      <c r="BT14" s="165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71"/>
      <c r="CF14" s="174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50"/>
      <c r="CR14" s="153"/>
      <c r="CS14" s="138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4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6"/>
      <c r="DP14" s="109"/>
      <c r="DQ14" s="132"/>
      <c r="DS14" s="114"/>
      <c r="DT14" s="117"/>
    </row>
    <row r="15" spans="1:124" ht="20.25" customHeight="1">
      <c r="A15" s="128"/>
      <c r="B15" s="128"/>
      <c r="C15" s="285"/>
      <c r="D15" s="287"/>
      <c r="E15" s="315"/>
      <c r="F15" s="76" t="s">
        <v>52</v>
      </c>
      <c r="G15" s="77" t="s">
        <v>37</v>
      </c>
      <c r="H15" s="67">
        <v>16.100000000000001</v>
      </c>
      <c r="I15" s="68">
        <v>16.100000000000001</v>
      </c>
      <c r="J15" s="68">
        <v>45.43</v>
      </c>
      <c r="K15" s="68">
        <v>18.73</v>
      </c>
      <c r="L15" s="68">
        <v>38.17</v>
      </c>
      <c r="M15" s="68">
        <v>18.760000000000002</v>
      </c>
      <c r="N15" s="68">
        <v>19.59</v>
      </c>
      <c r="O15" s="68"/>
      <c r="P15" s="68"/>
      <c r="Q15" s="68"/>
      <c r="R15" s="68"/>
      <c r="S15" s="69"/>
      <c r="T15" s="186"/>
      <c r="U15" s="322"/>
      <c r="V15" s="138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4"/>
      <c r="AH15" s="29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1"/>
      <c r="AT15" s="138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4"/>
      <c r="BF15" s="106"/>
      <c r="BG15" s="299"/>
      <c r="BH15" s="299"/>
      <c r="BI15" s="299"/>
      <c r="BJ15" s="299"/>
      <c r="BK15" s="299"/>
      <c r="BL15" s="299"/>
      <c r="BM15" s="299"/>
      <c r="BN15" s="299"/>
      <c r="BO15" s="299"/>
      <c r="BP15" s="299"/>
      <c r="BQ15" s="317"/>
      <c r="BR15" s="202"/>
      <c r="BS15" s="177"/>
      <c r="BT15" s="165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71"/>
      <c r="CF15" s="174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50"/>
      <c r="CR15" s="153"/>
      <c r="CS15" s="138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4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9"/>
      <c r="DQ15" s="132"/>
      <c r="DS15" s="114"/>
      <c r="DT15" s="117"/>
    </row>
    <row r="16" spans="1:124" ht="20.25" customHeight="1">
      <c r="A16" s="128"/>
      <c r="B16" s="128"/>
      <c r="C16" s="285"/>
      <c r="D16" s="287"/>
      <c r="E16" s="312" t="s">
        <v>6</v>
      </c>
      <c r="F16" s="2" t="s">
        <v>53</v>
      </c>
      <c r="G16" s="3" t="s">
        <v>38</v>
      </c>
      <c r="H16" s="67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9"/>
      <c r="T16" s="186"/>
      <c r="U16" s="322"/>
      <c r="V16" s="138">
        <f>IFERROR((SUM(H16:H20)/COUNTIF(H16:H20,"&gt;0")),0)</f>
        <v>33.72</v>
      </c>
      <c r="W16" s="141">
        <f t="shared" ref="W16:AF16" si="8">IFERROR((SUM(I16:I20)/COUNTIF(I16:I20,"&gt;0")),0)</f>
        <v>33.72</v>
      </c>
      <c r="X16" s="141">
        <f t="shared" si="8"/>
        <v>42.62</v>
      </c>
      <c r="Y16" s="141">
        <f t="shared" si="8"/>
        <v>31.68</v>
      </c>
      <c r="Z16" s="141">
        <f t="shared" si="8"/>
        <v>30.76</v>
      </c>
      <c r="AA16" s="141">
        <f t="shared" si="8"/>
        <v>31.44</v>
      </c>
      <c r="AB16" s="141">
        <f t="shared" si="8"/>
        <v>28.45</v>
      </c>
      <c r="AC16" s="141">
        <f t="shared" si="8"/>
        <v>0</v>
      </c>
      <c r="AD16" s="141">
        <f t="shared" si="8"/>
        <v>0</v>
      </c>
      <c r="AE16" s="141">
        <f t="shared" si="8"/>
        <v>0</v>
      </c>
      <c r="AF16" s="141">
        <f t="shared" si="8"/>
        <v>0</v>
      </c>
      <c r="AG16" s="144">
        <f>IFERROR((SUM(S16:S20)/COUNTIF(S16:S20,"&gt;0")),0)</f>
        <v>0</v>
      </c>
      <c r="AH16" s="310">
        <v>548</v>
      </c>
      <c r="AI16" s="290">
        <v>548</v>
      </c>
      <c r="AJ16" s="290">
        <v>543</v>
      </c>
      <c r="AK16" s="290">
        <v>539</v>
      </c>
      <c r="AL16" s="290">
        <v>528</v>
      </c>
      <c r="AM16" s="290">
        <v>529</v>
      </c>
      <c r="AN16" s="290">
        <v>535</v>
      </c>
      <c r="AO16" s="290"/>
      <c r="AP16" s="290"/>
      <c r="AQ16" s="290"/>
      <c r="AR16" s="290"/>
      <c r="AS16" s="295"/>
      <c r="AT16" s="138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4"/>
      <c r="BF16" s="106"/>
      <c r="BG16" s="299"/>
      <c r="BH16" s="299"/>
      <c r="BI16" s="299"/>
      <c r="BJ16" s="299"/>
      <c r="BK16" s="299"/>
      <c r="BL16" s="299"/>
      <c r="BM16" s="299"/>
      <c r="BN16" s="299"/>
      <c r="BO16" s="299"/>
      <c r="BP16" s="299"/>
      <c r="BQ16" s="317"/>
      <c r="BR16" s="202"/>
      <c r="BS16" s="177"/>
      <c r="BT16" s="165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71"/>
      <c r="CF16" s="174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50"/>
      <c r="CR16" s="153"/>
      <c r="CS16" s="138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4"/>
      <c r="DE16" s="106"/>
      <c r="DF16" s="106"/>
      <c r="DG16" s="106"/>
      <c r="DH16" s="106"/>
      <c r="DI16" s="106"/>
      <c r="DJ16" s="106"/>
      <c r="DK16" s="106"/>
      <c r="DL16" s="106"/>
      <c r="DM16" s="106"/>
      <c r="DN16" s="106"/>
      <c r="DO16" s="106"/>
      <c r="DP16" s="109"/>
      <c r="DQ16" s="132"/>
      <c r="DS16" s="114"/>
      <c r="DT16" s="117"/>
    </row>
    <row r="17" spans="1:124" ht="20.25" customHeight="1">
      <c r="A17" s="128"/>
      <c r="B17" s="128"/>
      <c r="C17" s="285"/>
      <c r="D17" s="287"/>
      <c r="E17" s="312"/>
      <c r="F17" s="4" t="s">
        <v>57</v>
      </c>
      <c r="G17" s="3" t="s">
        <v>39</v>
      </c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9"/>
      <c r="T17" s="186"/>
      <c r="U17" s="322"/>
      <c r="V17" s="138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4"/>
      <c r="AH17" s="31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5"/>
      <c r="AT17" s="138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4"/>
      <c r="BF17" s="106"/>
      <c r="BG17" s="299"/>
      <c r="BH17" s="299"/>
      <c r="BI17" s="299"/>
      <c r="BJ17" s="299"/>
      <c r="BK17" s="299"/>
      <c r="BL17" s="299"/>
      <c r="BM17" s="299"/>
      <c r="BN17" s="299"/>
      <c r="BO17" s="299"/>
      <c r="BP17" s="299"/>
      <c r="BQ17" s="317"/>
      <c r="BR17" s="202"/>
      <c r="BS17" s="177"/>
      <c r="BT17" s="165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71"/>
      <c r="CF17" s="174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50"/>
      <c r="CR17" s="153"/>
      <c r="CS17" s="138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4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9"/>
      <c r="DQ17" s="132"/>
      <c r="DS17" s="114"/>
      <c r="DT17" s="117"/>
    </row>
    <row r="18" spans="1:124" ht="20.25" customHeight="1">
      <c r="A18" s="128"/>
      <c r="B18" s="128"/>
      <c r="C18" s="285"/>
      <c r="D18" s="287"/>
      <c r="E18" s="312"/>
      <c r="F18" s="76" t="s">
        <v>54</v>
      </c>
      <c r="G18" s="77" t="s">
        <v>40</v>
      </c>
      <c r="H18" s="67">
        <v>33.72</v>
      </c>
      <c r="I18" s="68">
        <v>33.72</v>
      </c>
      <c r="J18" s="68">
        <v>42.62</v>
      </c>
      <c r="K18" s="68">
        <v>31.68</v>
      </c>
      <c r="L18" s="68">
        <v>30.76</v>
      </c>
      <c r="M18" s="68">
        <v>31.44</v>
      </c>
      <c r="N18" s="68">
        <v>28.45</v>
      </c>
      <c r="O18" s="68"/>
      <c r="P18" s="68"/>
      <c r="Q18" s="68"/>
      <c r="R18" s="68"/>
      <c r="S18" s="69"/>
      <c r="T18" s="186"/>
      <c r="U18" s="322"/>
      <c r="V18" s="138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4"/>
      <c r="AH18" s="310"/>
      <c r="AI18" s="290"/>
      <c r="AJ18" s="290"/>
      <c r="AK18" s="290"/>
      <c r="AL18" s="290"/>
      <c r="AM18" s="290"/>
      <c r="AN18" s="290"/>
      <c r="AO18" s="290"/>
      <c r="AP18" s="290"/>
      <c r="AQ18" s="290"/>
      <c r="AR18" s="290"/>
      <c r="AS18" s="295"/>
      <c r="AT18" s="138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4"/>
      <c r="BF18" s="106"/>
      <c r="BG18" s="299"/>
      <c r="BH18" s="299"/>
      <c r="BI18" s="299"/>
      <c r="BJ18" s="299"/>
      <c r="BK18" s="299"/>
      <c r="BL18" s="299"/>
      <c r="BM18" s="299"/>
      <c r="BN18" s="299"/>
      <c r="BO18" s="299"/>
      <c r="BP18" s="299"/>
      <c r="BQ18" s="317"/>
      <c r="BR18" s="202"/>
      <c r="BS18" s="177"/>
      <c r="BT18" s="165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71"/>
      <c r="CF18" s="174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50"/>
      <c r="CR18" s="153"/>
      <c r="CS18" s="138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4"/>
      <c r="DE18" s="106"/>
      <c r="DF18" s="106"/>
      <c r="DG18" s="106"/>
      <c r="DH18" s="106"/>
      <c r="DI18" s="106"/>
      <c r="DJ18" s="106"/>
      <c r="DK18" s="106"/>
      <c r="DL18" s="106"/>
      <c r="DM18" s="106"/>
      <c r="DN18" s="106"/>
      <c r="DO18" s="106"/>
      <c r="DP18" s="109"/>
      <c r="DQ18" s="132"/>
      <c r="DS18" s="114"/>
      <c r="DT18" s="117"/>
    </row>
    <row r="19" spans="1:124" ht="20.25" customHeight="1">
      <c r="A19" s="128"/>
      <c r="B19" s="128"/>
      <c r="C19" s="285"/>
      <c r="D19" s="287"/>
      <c r="E19" s="312"/>
      <c r="F19" s="2" t="s">
        <v>55</v>
      </c>
      <c r="G19" s="3" t="s">
        <v>41</v>
      </c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186"/>
      <c r="U19" s="322"/>
      <c r="V19" s="138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4"/>
      <c r="AH19" s="31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5"/>
      <c r="AT19" s="138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4"/>
      <c r="BF19" s="106"/>
      <c r="BG19" s="299"/>
      <c r="BH19" s="299"/>
      <c r="BI19" s="299"/>
      <c r="BJ19" s="299"/>
      <c r="BK19" s="299"/>
      <c r="BL19" s="299"/>
      <c r="BM19" s="299"/>
      <c r="BN19" s="299"/>
      <c r="BO19" s="299"/>
      <c r="BP19" s="299"/>
      <c r="BQ19" s="317"/>
      <c r="BR19" s="202"/>
      <c r="BS19" s="177"/>
      <c r="BT19" s="165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71"/>
      <c r="CF19" s="174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50"/>
      <c r="CR19" s="153"/>
      <c r="CS19" s="138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4"/>
      <c r="DE19" s="106"/>
      <c r="DF19" s="106"/>
      <c r="DG19" s="106"/>
      <c r="DH19" s="106"/>
      <c r="DI19" s="106"/>
      <c r="DJ19" s="106"/>
      <c r="DK19" s="106"/>
      <c r="DL19" s="106"/>
      <c r="DM19" s="106"/>
      <c r="DN19" s="106"/>
      <c r="DO19" s="106"/>
      <c r="DP19" s="109"/>
      <c r="DQ19" s="132"/>
      <c r="DS19" s="114"/>
      <c r="DT19" s="117"/>
    </row>
    <row r="20" spans="1:124" ht="20.25" customHeight="1" thickBot="1">
      <c r="A20" s="128"/>
      <c r="B20" s="128"/>
      <c r="C20" s="286"/>
      <c r="D20" s="288"/>
      <c r="E20" s="313"/>
      <c r="F20" s="10" t="s">
        <v>56</v>
      </c>
      <c r="G20" s="11" t="s">
        <v>42</v>
      </c>
      <c r="H20" s="70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2"/>
      <c r="T20" s="186"/>
      <c r="U20" s="322"/>
      <c r="V20" s="335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  <c r="AG20" s="331"/>
      <c r="AH20" s="31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6"/>
      <c r="AT20" s="139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5"/>
      <c r="BF20" s="107"/>
      <c r="BG20" s="300"/>
      <c r="BH20" s="300"/>
      <c r="BI20" s="300"/>
      <c r="BJ20" s="300"/>
      <c r="BK20" s="300"/>
      <c r="BL20" s="300"/>
      <c r="BM20" s="300"/>
      <c r="BN20" s="300"/>
      <c r="BO20" s="300"/>
      <c r="BP20" s="300"/>
      <c r="BQ20" s="318"/>
      <c r="BR20" s="203"/>
      <c r="BS20" s="178"/>
      <c r="BT20" s="165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71"/>
      <c r="CF20" s="174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50"/>
      <c r="CR20" s="153"/>
      <c r="CS20" s="138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4"/>
      <c r="DE20" s="106"/>
      <c r="DF20" s="106"/>
      <c r="DG20" s="106"/>
      <c r="DH20" s="106"/>
      <c r="DI20" s="106"/>
      <c r="DJ20" s="106"/>
      <c r="DK20" s="106"/>
      <c r="DL20" s="106"/>
      <c r="DM20" s="106"/>
      <c r="DN20" s="106"/>
      <c r="DO20" s="106"/>
      <c r="DP20" s="109"/>
      <c r="DQ20" s="132"/>
      <c r="DS20" s="114"/>
      <c r="DT20" s="117"/>
    </row>
    <row r="21" spans="1:124" ht="20.25" customHeight="1">
      <c r="A21" s="128"/>
      <c r="B21" s="128"/>
      <c r="C21" s="263" t="s">
        <v>10</v>
      </c>
      <c r="D21" s="289" t="s">
        <v>11</v>
      </c>
      <c r="E21" s="236" t="s">
        <v>4</v>
      </c>
      <c r="F21" s="8" t="s">
        <v>76</v>
      </c>
      <c r="G21" s="9" t="s">
        <v>82</v>
      </c>
      <c r="H21" s="64">
        <v>11.78</v>
      </c>
      <c r="I21" s="65">
        <v>11.78</v>
      </c>
      <c r="J21" s="65">
        <v>11.7</v>
      </c>
      <c r="K21" s="65">
        <v>12.25</v>
      </c>
      <c r="L21" s="65">
        <v>21.37</v>
      </c>
      <c r="M21" s="65">
        <v>23.41</v>
      </c>
      <c r="N21" s="65">
        <v>19.309999999999999</v>
      </c>
      <c r="O21" s="65"/>
      <c r="P21" s="65"/>
      <c r="Q21" s="65"/>
      <c r="R21" s="65"/>
      <c r="S21" s="66"/>
      <c r="T21" s="186"/>
      <c r="U21" s="322"/>
      <c r="V21" s="333">
        <f>IFERROR((SUM(H21:H22)/COUNTIF(H21:H22,"&gt;0")),0)</f>
        <v>11.78</v>
      </c>
      <c r="W21" s="140">
        <f t="shared" ref="W21:AG21" si="9">IFERROR((SUM(I21:I22)/COUNTIF(I21:I22,"&gt;0")),0)</f>
        <v>11.78</v>
      </c>
      <c r="X21" s="140">
        <f t="shared" si="9"/>
        <v>11.7</v>
      </c>
      <c r="Y21" s="140">
        <f t="shared" si="9"/>
        <v>12.25</v>
      </c>
      <c r="Z21" s="140">
        <f t="shared" si="9"/>
        <v>21.37</v>
      </c>
      <c r="AA21" s="140">
        <f t="shared" si="9"/>
        <v>23.41</v>
      </c>
      <c r="AB21" s="140">
        <f t="shared" si="9"/>
        <v>19.309999999999999</v>
      </c>
      <c r="AC21" s="140">
        <f t="shared" si="9"/>
        <v>0</v>
      </c>
      <c r="AD21" s="140">
        <f t="shared" si="9"/>
        <v>0</v>
      </c>
      <c r="AE21" s="140">
        <f t="shared" si="9"/>
        <v>0</v>
      </c>
      <c r="AF21" s="140">
        <f t="shared" si="9"/>
        <v>0</v>
      </c>
      <c r="AG21" s="143">
        <f t="shared" si="9"/>
        <v>0</v>
      </c>
      <c r="AH21" s="336">
        <v>527</v>
      </c>
      <c r="AI21" s="221">
        <v>523</v>
      </c>
      <c r="AJ21" s="221">
        <v>526</v>
      </c>
      <c r="AK21" s="221">
        <v>522</v>
      </c>
      <c r="AL21" s="221">
        <v>523</v>
      </c>
      <c r="AM21" s="221">
        <v>517</v>
      </c>
      <c r="AN21" s="221">
        <v>528</v>
      </c>
      <c r="AO21" s="221"/>
      <c r="AP21" s="221"/>
      <c r="AQ21" s="221"/>
      <c r="AR21" s="221"/>
      <c r="AS21" s="306"/>
      <c r="AT21" s="302">
        <f t="shared" ref="AT21:BE21" si="10">IFERROR((((V21*AH21)+(V23*AH23)+(V25*AH25))/SUM(AH21:AH26)),0)</f>
        <v>17.080023419203744</v>
      </c>
      <c r="AU21" s="216">
        <f t="shared" si="10"/>
        <v>17.058787878787879</v>
      </c>
      <c r="AV21" s="216">
        <f t="shared" si="10"/>
        <v>20.201119668246449</v>
      </c>
      <c r="AW21" s="216">
        <f t="shared" si="10"/>
        <v>18.730730538922156</v>
      </c>
      <c r="AX21" s="216">
        <f t="shared" si="10"/>
        <v>21.522002405291641</v>
      </c>
      <c r="AY21" s="216">
        <f t="shared" si="10"/>
        <v>28.084104254044334</v>
      </c>
      <c r="AZ21" s="216">
        <f t="shared" si="10"/>
        <v>23.139928825622775</v>
      </c>
      <c r="BA21" s="216">
        <f t="shared" si="10"/>
        <v>0</v>
      </c>
      <c r="BB21" s="216">
        <f t="shared" si="10"/>
        <v>0</v>
      </c>
      <c r="BC21" s="216">
        <f t="shared" si="10"/>
        <v>0</v>
      </c>
      <c r="BD21" s="216">
        <f t="shared" si="10"/>
        <v>0</v>
      </c>
      <c r="BE21" s="292">
        <f t="shared" si="10"/>
        <v>0</v>
      </c>
      <c r="BF21" s="212">
        <f>SUM(AH21:AH26)</f>
        <v>1708</v>
      </c>
      <c r="BG21" s="206">
        <f>SUM(AI21:AI26)</f>
        <v>1683</v>
      </c>
      <c r="BH21" s="206">
        <f>SUM(AJ21:AJ26)</f>
        <v>1688</v>
      </c>
      <c r="BI21" s="206">
        <f t="shared" ref="BI21:BP21" si="11">SUM(AK21:AK26)</f>
        <v>1670</v>
      </c>
      <c r="BJ21" s="206">
        <f t="shared" si="11"/>
        <v>1663</v>
      </c>
      <c r="BK21" s="206">
        <f t="shared" si="11"/>
        <v>1669</v>
      </c>
      <c r="BL21" s="206">
        <f t="shared" si="11"/>
        <v>1686</v>
      </c>
      <c r="BM21" s="206">
        <f t="shared" si="11"/>
        <v>0</v>
      </c>
      <c r="BN21" s="206">
        <f t="shared" si="11"/>
        <v>0</v>
      </c>
      <c r="BO21" s="206">
        <f t="shared" si="11"/>
        <v>0</v>
      </c>
      <c r="BP21" s="206">
        <f t="shared" si="11"/>
        <v>0</v>
      </c>
      <c r="BQ21" s="209">
        <f>SUM(AS21:AS26)</f>
        <v>0</v>
      </c>
      <c r="BR21" s="198">
        <f>IFERROR(((AT21*BF21)+(AU21*BG21)+(AV21*BH21)+(AW21*BI21)+(AX21*BJ21)+(AY21*BK21)+(AZ21*BL21)+(BA21*BM21)+(BB21*BN21)+(BC21*BO21)+(BD21*BP21)+(BE21*BQ21))/SUM(BF21:BQ26),0)</f>
        <v>20.815824764170987</v>
      </c>
      <c r="BS21" s="131">
        <f>BR21</f>
        <v>20.815824764170987</v>
      </c>
      <c r="BT21" s="165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71"/>
      <c r="CF21" s="174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50"/>
      <c r="CR21" s="153"/>
      <c r="CS21" s="138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4"/>
      <c r="DE21" s="106"/>
      <c r="DF21" s="106"/>
      <c r="DG21" s="106"/>
      <c r="DH21" s="106"/>
      <c r="DI21" s="106"/>
      <c r="DJ21" s="106"/>
      <c r="DK21" s="106"/>
      <c r="DL21" s="106"/>
      <c r="DM21" s="106"/>
      <c r="DN21" s="106"/>
      <c r="DO21" s="106"/>
      <c r="DP21" s="109"/>
      <c r="DQ21" s="132"/>
      <c r="DS21" s="114"/>
      <c r="DT21" s="117"/>
    </row>
    <row r="22" spans="1:124" ht="20.25" customHeight="1">
      <c r="A22" s="128"/>
      <c r="B22" s="128"/>
      <c r="C22" s="258"/>
      <c r="D22" s="261"/>
      <c r="E22" s="238"/>
      <c r="F22" s="76" t="s">
        <v>77</v>
      </c>
      <c r="G22" s="77" t="s">
        <v>83</v>
      </c>
      <c r="H22" s="67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9"/>
      <c r="T22" s="186"/>
      <c r="U22" s="322"/>
      <c r="V22" s="334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4"/>
      <c r="AH22" s="337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305"/>
      <c r="AT22" s="303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93"/>
      <c r="BF22" s="194"/>
      <c r="BG22" s="207"/>
      <c r="BH22" s="207"/>
      <c r="BI22" s="207"/>
      <c r="BJ22" s="207"/>
      <c r="BK22" s="207"/>
      <c r="BL22" s="207"/>
      <c r="BM22" s="207"/>
      <c r="BN22" s="207"/>
      <c r="BO22" s="207"/>
      <c r="BP22" s="207"/>
      <c r="BQ22" s="210"/>
      <c r="BR22" s="199"/>
      <c r="BS22" s="132"/>
      <c r="BT22" s="165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71"/>
      <c r="CF22" s="174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50"/>
      <c r="CR22" s="153"/>
      <c r="CS22" s="138"/>
      <c r="CT22" s="141"/>
      <c r="CU22" s="141"/>
      <c r="CV22" s="141"/>
      <c r="CW22" s="141"/>
      <c r="CX22" s="141"/>
      <c r="CY22" s="141"/>
      <c r="CZ22" s="141"/>
      <c r="DA22" s="141"/>
      <c r="DB22" s="141"/>
      <c r="DC22" s="141"/>
      <c r="DD22" s="144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6"/>
      <c r="DP22" s="109"/>
      <c r="DQ22" s="132"/>
      <c r="DS22" s="114"/>
      <c r="DT22" s="117"/>
    </row>
    <row r="23" spans="1:124" ht="20.25" customHeight="1">
      <c r="A23" s="128"/>
      <c r="B23" s="128"/>
      <c r="C23" s="258"/>
      <c r="D23" s="261"/>
      <c r="E23" s="239" t="s">
        <v>5</v>
      </c>
      <c r="F23" s="76" t="s">
        <v>78</v>
      </c>
      <c r="G23" s="77" t="s">
        <v>84</v>
      </c>
      <c r="H23" s="67">
        <v>18.32</v>
      </c>
      <c r="I23" s="68">
        <v>18.32</v>
      </c>
      <c r="J23" s="68">
        <v>19.440000000000001</v>
      </c>
      <c r="K23" s="68">
        <v>21.34</v>
      </c>
      <c r="L23" s="68">
        <v>21.24</v>
      </c>
      <c r="M23" s="68">
        <v>25.36</v>
      </c>
      <c r="N23" s="68">
        <v>19.760000000000002</v>
      </c>
      <c r="O23" s="68"/>
      <c r="P23" s="68"/>
      <c r="Q23" s="68"/>
      <c r="R23" s="68"/>
      <c r="S23" s="69"/>
      <c r="T23" s="186"/>
      <c r="U23" s="322"/>
      <c r="V23" s="138">
        <f>IFERROR((SUM(H23:H24)/COUNTIF(H23:H24,"&gt;0")),0)</f>
        <v>18.32</v>
      </c>
      <c r="W23" s="141">
        <f>IFERROR((SUM(I23:I23)/COUNTIF(I23:I23,"&gt;0")),0)</f>
        <v>18.32</v>
      </c>
      <c r="X23" s="141">
        <f>IFERROR((SUM(J23:J24)/COUNTIF(J23:J24,"&gt;0")),0)</f>
        <v>19.440000000000001</v>
      </c>
      <c r="Y23" s="141">
        <f>IFERROR((SUM(K23:K24)/COUNTIF(K23:K24,"&gt;0")),0)</f>
        <v>21.34</v>
      </c>
      <c r="Z23" s="141">
        <f>IFERROR((SUM(L23:L24)/COUNTIF(L23:L24,"&gt;0")),0)</f>
        <v>21.24</v>
      </c>
      <c r="AA23" s="141">
        <f>IFERROR((SUM(M23:M24)/COUNTIF(M23:M24,"&gt;0")),0)</f>
        <v>25.36</v>
      </c>
      <c r="AB23" s="141">
        <f t="shared" ref="AB23:AG23" si="12">IFERROR((SUM(N23:N24)/COUNTIF(N23:N24,"&gt;0")),0)</f>
        <v>19.760000000000002</v>
      </c>
      <c r="AC23" s="141">
        <f t="shared" si="12"/>
        <v>0</v>
      </c>
      <c r="AD23" s="141">
        <f t="shared" si="12"/>
        <v>0</v>
      </c>
      <c r="AE23" s="141">
        <f t="shared" si="12"/>
        <v>0</v>
      </c>
      <c r="AF23" s="141">
        <f t="shared" si="12"/>
        <v>0</v>
      </c>
      <c r="AG23" s="144">
        <f t="shared" si="12"/>
        <v>0</v>
      </c>
      <c r="AH23" s="338">
        <v>923</v>
      </c>
      <c r="AI23" s="219">
        <v>908</v>
      </c>
      <c r="AJ23" s="219">
        <v>909</v>
      </c>
      <c r="AK23" s="219">
        <v>898</v>
      </c>
      <c r="AL23" s="219">
        <v>894</v>
      </c>
      <c r="AM23" s="219">
        <v>906</v>
      </c>
      <c r="AN23" s="219">
        <v>909</v>
      </c>
      <c r="AO23" s="219"/>
      <c r="AP23" s="219"/>
      <c r="AQ23" s="219"/>
      <c r="AR23" s="219"/>
      <c r="AS23" s="228"/>
      <c r="AT23" s="303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93"/>
      <c r="BF23" s="194"/>
      <c r="BG23" s="207"/>
      <c r="BH23" s="207"/>
      <c r="BI23" s="207"/>
      <c r="BJ23" s="207"/>
      <c r="BK23" s="207"/>
      <c r="BL23" s="207"/>
      <c r="BM23" s="207"/>
      <c r="BN23" s="207"/>
      <c r="BO23" s="207"/>
      <c r="BP23" s="207"/>
      <c r="BQ23" s="210"/>
      <c r="BR23" s="199"/>
      <c r="BS23" s="132"/>
      <c r="BT23" s="165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71"/>
      <c r="CF23" s="174"/>
      <c r="CG23" s="147"/>
      <c r="CH23" s="147"/>
      <c r="CI23" s="147"/>
      <c r="CJ23" s="147"/>
      <c r="CK23" s="147"/>
      <c r="CL23" s="147"/>
      <c r="CM23" s="147"/>
      <c r="CN23" s="147"/>
      <c r="CO23" s="147"/>
      <c r="CP23" s="147"/>
      <c r="CQ23" s="150"/>
      <c r="CR23" s="153"/>
      <c r="CS23" s="138"/>
      <c r="CT23" s="141"/>
      <c r="CU23" s="141"/>
      <c r="CV23" s="141"/>
      <c r="CW23" s="141"/>
      <c r="CX23" s="141"/>
      <c r="CY23" s="141"/>
      <c r="CZ23" s="141"/>
      <c r="DA23" s="141"/>
      <c r="DB23" s="141"/>
      <c r="DC23" s="141"/>
      <c r="DD23" s="144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6"/>
      <c r="DP23" s="109"/>
      <c r="DQ23" s="132"/>
      <c r="DS23" s="114"/>
      <c r="DT23" s="117"/>
    </row>
    <row r="24" spans="1:124" ht="20.25" customHeight="1">
      <c r="A24" s="128"/>
      <c r="B24" s="128"/>
      <c r="C24" s="258"/>
      <c r="D24" s="261"/>
      <c r="E24" s="241"/>
      <c r="F24" s="2" t="s">
        <v>79</v>
      </c>
      <c r="G24" s="3" t="s">
        <v>85</v>
      </c>
      <c r="H24" s="67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9"/>
      <c r="T24" s="186"/>
      <c r="U24" s="322"/>
      <c r="V24" s="138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4"/>
      <c r="AH24" s="337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305"/>
      <c r="AT24" s="303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93"/>
      <c r="BF24" s="194"/>
      <c r="BG24" s="207"/>
      <c r="BH24" s="207"/>
      <c r="BI24" s="207"/>
      <c r="BJ24" s="207"/>
      <c r="BK24" s="207"/>
      <c r="BL24" s="207"/>
      <c r="BM24" s="207"/>
      <c r="BN24" s="207"/>
      <c r="BO24" s="207"/>
      <c r="BP24" s="207"/>
      <c r="BQ24" s="210"/>
      <c r="BR24" s="199"/>
      <c r="BS24" s="132"/>
      <c r="BT24" s="165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71"/>
      <c r="CF24" s="174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50"/>
      <c r="CR24" s="153"/>
      <c r="CS24" s="138"/>
      <c r="CT24" s="141"/>
      <c r="CU24" s="141"/>
      <c r="CV24" s="141"/>
      <c r="CW24" s="141"/>
      <c r="CX24" s="141"/>
      <c r="CY24" s="141"/>
      <c r="CZ24" s="141"/>
      <c r="DA24" s="141"/>
      <c r="DB24" s="141"/>
      <c r="DC24" s="141"/>
      <c r="DD24" s="144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6"/>
      <c r="DP24" s="109"/>
      <c r="DQ24" s="132"/>
      <c r="DS24" s="114"/>
      <c r="DT24" s="117"/>
    </row>
    <row r="25" spans="1:124" ht="20.25" customHeight="1">
      <c r="A25" s="128"/>
      <c r="B25" s="128"/>
      <c r="C25" s="258"/>
      <c r="D25" s="261"/>
      <c r="E25" s="242" t="s">
        <v>6</v>
      </c>
      <c r="F25" s="2" t="s">
        <v>80</v>
      </c>
      <c r="G25" s="3" t="s">
        <v>86</v>
      </c>
      <c r="H25" s="67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9"/>
      <c r="T25" s="186"/>
      <c r="U25" s="322"/>
      <c r="V25" s="138">
        <f t="shared" ref="V25:AA25" si="13">IFERROR((SUM(H25:H26)/COUNTIF(H25:H26,"&gt;0")),0)</f>
        <v>23.47</v>
      </c>
      <c r="W25" s="141">
        <f t="shared" si="13"/>
        <v>23.47</v>
      </c>
      <c r="X25" s="141">
        <f t="shared" si="13"/>
        <v>40.61</v>
      </c>
      <c r="Y25" s="141">
        <f t="shared" si="13"/>
        <v>22.89</v>
      </c>
      <c r="Z25" s="141">
        <f t="shared" si="13"/>
        <v>22.87</v>
      </c>
      <c r="AA25" s="141">
        <f t="shared" si="13"/>
        <v>47.94</v>
      </c>
      <c r="AB25" s="141">
        <f t="shared" ref="AB25:AG25" si="14">IFERROR((SUM(N25:N26)/COUNTIF(N25:N26,"&gt;0")),0)</f>
        <v>43.6</v>
      </c>
      <c r="AC25" s="141">
        <f t="shared" si="14"/>
        <v>0</v>
      </c>
      <c r="AD25" s="141">
        <f t="shared" si="14"/>
        <v>0</v>
      </c>
      <c r="AE25" s="141">
        <f t="shared" si="14"/>
        <v>0</v>
      </c>
      <c r="AF25" s="141">
        <f t="shared" si="14"/>
        <v>0</v>
      </c>
      <c r="AG25" s="144">
        <f t="shared" si="14"/>
        <v>0</v>
      </c>
      <c r="AH25" s="338">
        <v>258</v>
      </c>
      <c r="AI25" s="219">
        <v>252</v>
      </c>
      <c r="AJ25" s="219">
        <v>253</v>
      </c>
      <c r="AK25" s="219">
        <v>250</v>
      </c>
      <c r="AL25" s="219">
        <v>246</v>
      </c>
      <c r="AM25" s="219">
        <v>246</v>
      </c>
      <c r="AN25" s="219">
        <v>249</v>
      </c>
      <c r="AO25" s="219"/>
      <c r="AP25" s="219"/>
      <c r="AQ25" s="219"/>
      <c r="AR25" s="219"/>
      <c r="AS25" s="228"/>
      <c r="AT25" s="303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93"/>
      <c r="BF25" s="194"/>
      <c r="BG25" s="207"/>
      <c r="BH25" s="207"/>
      <c r="BI25" s="207"/>
      <c r="BJ25" s="207"/>
      <c r="BK25" s="207"/>
      <c r="BL25" s="207"/>
      <c r="BM25" s="207"/>
      <c r="BN25" s="207"/>
      <c r="BO25" s="207"/>
      <c r="BP25" s="207"/>
      <c r="BQ25" s="210"/>
      <c r="BR25" s="199"/>
      <c r="BS25" s="132"/>
      <c r="BT25" s="165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71"/>
      <c r="CF25" s="174"/>
      <c r="CG25" s="147"/>
      <c r="CH25" s="147"/>
      <c r="CI25" s="147"/>
      <c r="CJ25" s="147"/>
      <c r="CK25" s="147"/>
      <c r="CL25" s="147"/>
      <c r="CM25" s="147"/>
      <c r="CN25" s="147"/>
      <c r="CO25" s="147"/>
      <c r="CP25" s="147"/>
      <c r="CQ25" s="150"/>
      <c r="CR25" s="153"/>
      <c r="CS25" s="138"/>
      <c r="CT25" s="141"/>
      <c r="CU25" s="141"/>
      <c r="CV25" s="141"/>
      <c r="CW25" s="141"/>
      <c r="CX25" s="141"/>
      <c r="CY25" s="141"/>
      <c r="CZ25" s="141"/>
      <c r="DA25" s="141"/>
      <c r="DB25" s="141"/>
      <c r="DC25" s="141"/>
      <c r="DD25" s="144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9"/>
      <c r="DQ25" s="132"/>
      <c r="DS25" s="114"/>
      <c r="DT25" s="117"/>
    </row>
    <row r="26" spans="1:124" ht="20.25" customHeight="1" thickBot="1">
      <c r="A26" s="128"/>
      <c r="B26" s="128"/>
      <c r="C26" s="259"/>
      <c r="D26" s="262"/>
      <c r="E26" s="244"/>
      <c r="F26" s="80" t="s">
        <v>81</v>
      </c>
      <c r="G26" s="81" t="s">
        <v>87</v>
      </c>
      <c r="H26" s="67">
        <v>23.47</v>
      </c>
      <c r="I26" s="68">
        <v>23.47</v>
      </c>
      <c r="J26" s="68">
        <v>40.61</v>
      </c>
      <c r="K26" s="68">
        <v>22.89</v>
      </c>
      <c r="L26" s="68">
        <v>22.87</v>
      </c>
      <c r="M26" s="68">
        <v>47.94</v>
      </c>
      <c r="N26" s="71">
        <v>43.6</v>
      </c>
      <c r="O26" s="71"/>
      <c r="P26" s="71"/>
      <c r="Q26" s="71"/>
      <c r="R26" s="71"/>
      <c r="S26" s="72"/>
      <c r="T26" s="186"/>
      <c r="U26" s="322"/>
      <c r="V26" s="139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5"/>
      <c r="AH26" s="344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9"/>
      <c r="AT26" s="304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94"/>
      <c r="BF26" s="195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11"/>
      <c r="BR26" s="200"/>
      <c r="BS26" s="133"/>
      <c r="BT26" s="165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71"/>
      <c r="CF26" s="174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50"/>
      <c r="CR26" s="153"/>
      <c r="CS26" s="138"/>
      <c r="CT26" s="141"/>
      <c r="CU26" s="141"/>
      <c r="CV26" s="141"/>
      <c r="CW26" s="141"/>
      <c r="CX26" s="141"/>
      <c r="CY26" s="141"/>
      <c r="CZ26" s="141"/>
      <c r="DA26" s="141"/>
      <c r="DB26" s="141"/>
      <c r="DC26" s="141"/>
      <c r="DD26" s="144"/>
      <c r="DE26" s="106"/>
      <c r="DF26" s="106"/>
      <c r="DG26" s="106"/>
      <c r="DH26" s="106"/>
      <c r="DI26" s="106"/>
      <c r="DJ26" s="106"/>
      <c r="DK26" s="106"/>
      <c r="DL26" s="106"/>
      <c r="DM26" s="106"/>
      <c r="DN26" s="106"/>
      <c r="DO26" s="106"/>
      <c r="DP26" s="109"/>
      <c r="DQ26" s="132"/>
      <c r="DS26" s="114"/>
      <c r="DT26" s="117"/>
    </row>
    <row r="27" spans="1:124" ht="20.25" customHeight="1">
      <c r="A27" s="128"/>
      <c r="B27" s="128"/>
      <c r="C27" s="182" t="s">
        <v>12</v>
      </c>
      <c r="D27" s="245" t="s">
        <v>13</v>
      </c>
      <c r="E27" s="236" t="s">
        <v>4</v>
      </c>
      <c r="F27" s="82" t="s">
        <v>105</v>
      </c>
      <c r="G27" s="83" t="s">
        <v>114</v>
      </c>
      <c r="H27" s="64">
        <v>13.27</v>
      </c>
      <c r="I27" s="65">
        <v>13.27</v>
      </c>
      <c r="J27" s="65">
        <v>15.54</v>
      </c>
      <c r="K27" s="65">
        <v>17.02</v>
      </c>
      <c r="L27" s="65">
        <v>20.18</v>
      </c>
      <c r="M27" s="65">
        <v>25.19</v>
      </c>
      <c r="N27" s="65">
        <v>26.49</v>
      </c>
      <c r="O27" s="65"/>
      <c r="P27" s="65"/>
      <c r="Q27" s="65"/>
      <c r="R27" s="65"/>
      <c r="S27" s="66"/>
      <c r="T27" s="186"/>
      <c r="U27" s="322"/>
      <c r="V27" s="333">
        <f>IFERROR((SUM(H27:H29)/COUNTIF(H27:H29,"&gt;0")),0)</f>
        <v>13.27</v>
      </c>
      <c r="W27" s="216">
        <f>IFERROR((SUM(I27:I29)/COUNTIF(I27:I29,"&gt;0")),0)</f>
        <v>13.27</v>
      </c>
      <c r="X27" s="216">
        <f t="shared" ref="X27:AG27" si="15">IFERROR((SUM(J27:J29)/COUNTIF(J27:J29,"&gt;0")),0)</f>
        <v>15.54</v>
      </c>
      <c r="Y27" s="216">
        <f t="shared" si="15"/>
        <v>17.02</v>
      </c>
      <c r="Z27" s="216">
        <f t="shared" si="15"/>
        <v>20.18</v>
      </c>
      <c r="AA27" s="216">
        <f t="shared" si="15"/>
        <v>25.19</v>
      </c>
      <c r="AB27" s="216">
        <f t="shared" si="15"/>
        <v>26.49</v>
      </c>
      <c r="AC27" s="216">
        <f t="shared" si="15"/>
        <v>0</v>
      </c>
      <c r="AD27" s="216">
        <f t="shared" si="15"/>
        <v>0</v>
      </c>
      <c r="AE27" s="216">
        <f t="shared" si="15"/>
        <v>0</v>
      </c>
      <c r="AF27" s="216">
        <f t="shared" si="15"/>
        <v>0</v>
      </c>
      <c r="AG27" s="340">
        <f t="shared" si="15"/>
        <v>0</v>
      </c>
      <c r="AH27" s="336">
        <v>746</v>
      </c>
      <c r="AI27" s="221">
        <v>746</v>
      </c>
      <c r="AJ27" s="221">
        <v>746</v>
      </c>
      <c r="AK27" s="221">
        <v>743</v>
      </c>
      <c r="AL27" s="221">
        <v>752</v>
      </c>
      <c r="AM27" s="221">
        <v>752</v>
      </c>
      <c r="AN27" s="221">
        <v>762</v>
      </c>
      <c r="AO27" s="221"/>
      <c r="AP27" s="221"/>
      <c r="AQ27" s="221"/>
      <c r="AR27" s="221"/>
      <c r="AS27" s="306"/>
      <c r="AT27" s="137">
        <f>IFERROR((((V27*AH27)+(V30*AH30)+(V33*AH33))/SUM(AH27:AH35)),0)</f>
        <v>32.108690127077224</v>
      </c>
      <c r="AU27" s="140">
        <f>IFERROR((((W27*AI27)+(W30*AI30)+(W33*AI33))/SUM(AI27:AI35)),0)</f>
        <v>32.102562347188261</v>
      </c>
      <c r="AV27" s="140">
        <f t="shared" ref="AV27:BE27" si="16">IFERROR((((X27*AJ27)+(X30*AJ30)+(X33*AJ33))/SUM(AJ27:AJ35)),0)</f>
        <v>22.788978890525282</v>
      </c>
      <c r="AW27" s="140">
        <f t="shared" si="16"/>
        <v>34.865059230009869</v>
      </c>
      <c r="AX27" s="140">
        <f t="shared" si="16"/>
        <v>35.853330078124998</v>
      </c>
      <c r="AY27" s="140">
        <f t="shared" si="16"/>
        <v>37.511342479176875</v>
      </c>
      <c r="AZ27" s="140">
        <f t="shared" si="16"/>
        <v>38.023871595330739</v>
      </c>
      <c r="BA27" s="140">
        <f t="shared" si="16"/>
        <v>0</v>
      </c>
      <c r="BB27" s="140">
        <f t="shared" si="16"/>
        <v>0</v>
      </c>
      <c r="BC27" s="140">
        <f t="shared" si="16"/>
        <v>0</v>
      </c>
      <c r="BD27" s="140">
        <f t="shared" si="16"/>
        <v>0</v>
      </c>
      <c r="BE27" s="143">
        <f t="shared" si="16"/>
        <v>0</v>
      </c>
      <c r="BF27" s="212">
        <f>SUM(AH27:AH35)</f>
        <v>2046</v>
      </c>
      <c r="BG27" s="212">
        <f t="shared" ref="BG27:BQ27" si="17">SUM(AI27:AI35)</f>
        <v>2045</v>
      </c>
      <c r="BH27" s="212">
        <f t="shared" si="17"/>
        <v>2037</v>
      </c>
      <c r="BI27" s="212">
        <f t="shared" si="17"/>
        <v>2026</v>
      </c>
      <c r="BJ27" s="212">
        <f t="shared" si="17"/>
        <v>2048</v>
      </c>
      <c r="BK27" s="212">
        <f t="shared" si="17"/>
        <v>2041</v>
      </c>
      <c r="BL27" s="212">
        <f t="shared" si="17"/>
        <v>2056</v>
      </c>
      <c r="BM27" s="212">
        <f t="shared" si="17"/>
        <v>0</v>
      </c>
      <c r="BN27" s="212">
        <f t="shared" si="17"/>
        <v>0</v>
      </c>
      <c r="BO27" s="212">
        <f t="shared" si="17"/>
        <v>0</v>
      </c>
      <c r="BP27" s="212">
        <f t="shared" si="17"/>
        <v>0</v>
      </c>
      <c r="BQ27" s="190">
        <f t="shared" si="17"/>
        <v>0</v>
      </c>
      <c r="BR27" s="198">
        <f>IFERROR(((AT27*BF27)+(AU27*BG27)+(AV27*BH27)+(AW27*BI27)+(AX27*BJ27)+(AY27*BK27)+(AZ27*BL27)+(BA27*BM27)+(BB27*BN27)+(BC27*BO27)+(BD27*BP27)+(BE27*BQ27))/SUM(BF27:BQ35),0)</f>
        <v>33.328710399328628</v>
      </c>
      <c r="BS27" s="131">
        <f>BR27</f>
        <v>33.328710399328628</v>
      </c>
      <c r="BT27" s="165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71"/>
      <c r="CF27" s="174"/>
      <c r="CG27" s="147"/>
      <c r="CH27" s="147"/>
      <c r="CI27" s="147"/>
      <c r="CJ27" s="147"/>
      <c r="CK27" s="147"/>
      <c r="CL27" s="147"/>
      <c r="CM27" s="147"/>
      <c r="CN27" s="147"/>
      <c r="CO27" s="147"/>
      <c r="CP27" s="147"/>
      <c r="CQ27" s="150"/>
      <c r="CR27" s="153"/>
      <c r="CS27" s="138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4"/>
      <c r="DE27" s="106"/>
      <c r="DF27" s="106"/>
      <c r="DG27" s="106"/>
      <c r="DH27" s="106"/>
      <c r="DI27" s="106"/>
      <c r="DJ27" s="106"/>
      <c r="DK27" s="106"/>
      <c r="DL27" s="106"/>
      <c r="DM27" s="106"/>
      <c r="DN27" s="106"/>
      <c r="DO27" s="106"/>
      <c r="DP27" s="109"/>
      <c r="DQ27" s="132"/>
      <c r="DS27" s="114"/>
      <c r="DT27" s="117"/>
    </row>
    <row r="28" spans="1:124" ht="20.25" customHeight="1">
      <c r="A28" s="128"/>
      <c r="B28" s="128"/>
      <c r="C28" s="183"/>
      <c r="D28" s="246"/>
      <c r="E28" s="237"/>
      <c r="F28" s="22" t="s">
        <v>106</v>
      </c>
      <c r="G28" s="23" t="s">
        <v>115</v>
      </c>
      <c r="H28" s="67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9"/>
      <c r="T28" s="186"/>
      <c r="U28" s="322"/>
      <c r="V28" s="334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341"/>
      <c r="AH28" s="345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343"/>
      <c r="AT28" s="138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1"/>
      <c r="BR28" s="199"/>
      <c r="BS28" s="132"/>
      <c r="BT28" s="165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71"/>
      <c r="CF28" s="174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50"/>
      <c r="CR28" s="153"/>
      <c r="CS28" s="138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4"/>
      <c r="DE28" s="106"/>
      <c r="DF28" s="106"/>
      <c r="DG28" s="106"/>
      <c r="DH28" s="106"/>
      <c r="DI28" s="106"/>
      <c r="DJ28" s="106"/>
      <c r="DK28" s="106"/>
      <c r="DL28" s="106"/>
      <c r="DM28" s="106"/>
      <c r="DN28" s="106"/>
      <c r="DO28" s="106"/>
      <c r="DP28" s="109"/>
      <c r="DQ28" s="132"/>
      <c r="DS28" s="114"/>
      <c r="DT28" s="117"/>
    </row>
    <row r="29" spans="1:124" ht="20.25" customHeight="1">
      <c r="A29" s="128"/>
      <c r="B29" s="128"/>
      <c r="C29" s="183"/>
      <c r="D29" s="246"/>
      <c r="E29" s="238"/>
      <c r="F29" s="2" t="s">
        <v>107</v>
      </c>
      <c r="G29" s="3" t="s">
        <v>116</v>
      </c>
      <c r="H29" s="67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9"/>
      <c r="T29" s="186"/>
      <c r="U29" s="322"/>
      <c r="V29" s="334"/>
      <c r="W29" s="339"/>
      <c r="X29" s="339"/>
      <c r="Y29" s="339"/>
      <c r="Z29" s="339"/>
      <c r="AA29" s="339"/>
      <c r="AB29" s="339"/>
      <c r="AC29" s="339"/>
      <c r="AD29" s="339"/>
      <c r="AE29" s="339"/>
      <c r="AF29" s="339"/>
      <c r="AG29" s="342"/>
      <c r="AH29" s="337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305"/>
      <c r="AT29" s="138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1"/>
      <c r="BR29" s="199"/>
      <c r="BS29" s="132"/>
      <c r="BT29" s="165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71"/>
      <c r="CF29" s="174"/>
      <c r="CG29" s="147"/>
      <c r="CH29" s="147"/>
      <c r="CI29" s="147"/>
      <c r="CJ29" s="147"/>
      <c r="CK29" s="147"/>
      <c r="CL29" s="147"/>
      <c r="CM29" s="147"/>
      <c r="CN29" s="147"/>
      <c r="CO29" s="147"/>
      <c r="CP29" s="147"/>
      <c r="CQ29" s="150"/>
      <c r="CR29" s="153"/>
      <c r="CS29" s="138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4"/>
      <c r="DE29" s="106"/>
      <c r="DF29" s="106"/>
      <c r="DG29" s="106"/>
      <c r="DH29" s="106"/>
      <c r="DI29" s="106"/>
      <c r="DJ29" s="106"/>
      <c r="DK29" s="106"/>
      <c r="DL29" s="106"/>
      <c r="DM29" s="106"/>
      <c r="DN29" s="106"/>
      <c r="DO29" s="106"/>
      <c r="DP29" s="109"/>
      <c r="DQ29" s="132"/>
      <c r="DS29" s="114"/>
      <c r="DT29" s="117"/>
    </row>
    <row r="30" spans="1:124" ht="20.25" customHeight="1">
      <c r="A30" s="128"/>
      <c r="B30" s="128"/>
      <c r="C30" s="183"/>
      <c r="D30" s="246"/>
      <c r="E30" s="239" t="s">
        <v>5</v>
      </c>
      <c r="F30" s="76" t="s">
        <v>108</v>
      </c>
      <c r="G30" s="77" t="s">
        <v>117</v>
      </c>
      <c r="H30" s="67">
        <v>42.25</v>
      </c>
      <c r="I30" s="68">
        <v>42.25</v>
      </c>
      <c r="J30" s="68">
        <v>30.47</v>
      </c>
      <c r="K30" s="68">
        <v>43.68</v>
      </c>
      <c r="L30" s="68">
        <v>43.34</v>
      </c>
      <c r="M30" s="68">
        <v>43.8</v>
      </c>
      <c r="N30" s="68">
        <v>44.15</v>
      </c>
      <c r="O30" s="68"/>
      <c r="P30" s="68"/>
      <c r="Q30" s="68"/>
      <c r="R30" s="68"/>
      <c r="S30" s="69"/>
      <c r="T30" s="186"/>
      <c r="U30" s="322"/>
      <c r="V30" s="138">
        <f t="shared" ref="V30:AA30" si="18">IFERROR((SUM(H30:H32)/COUNTIF(H30:H32,"&gt;0")),0)</f>
        <v>42.25</v>
      </c>
      <c r="W30" s="141">
        <f t="shared" si="18"/>
        <v>42.25</v>
      </c>
      <c r="X30" s="141">
        <f t="shared" si="18"/>
        <v>30.47</v>
      </c>
      <c r="Y30" s="141">
        <f t="shared" si="18"/>
        <v>43.68</v>
      </c>
      <c r="Z30" s="141">
        <f t="shared" si="18"/>
        <v>43.34</v>
      </c>
      <c r="AA30" s="141">
        <f t="shared" si="18"/>
        <v>43.8</v>
      </c>
      <c r="AB30" s="141">
        <f t="shared" ref="AB30:AG30" si="19">IFERROR((SUM(N30:N32)/COUNTIF(N30:N32,"&gt;0")),0)</f>
        <v>44.15</v>
      </c>
      <c r="AC30" s="141">
        <f t="shared" si="19"/>
        <v>0</v>
      </c>
      <c r="AD30" s="141">
        <f t="shared" si="19"/>
        <v>0</v>
      </c>
      <c r="AE30" s="141">
        <f t="shared" si="19"/>
        <v>0</v>
      </c>
      <c r="AF30" s="141">
        <f t="shared" si="19"/>
        <v>0</v>
      </c>
      <c r="AG30" s="346">
        <f t="shared" si="19"/>
        <v>0</v>
      </c>
      <c r="AH30" s="338">
        <v>936</v>
      </c>
      <c r="AI30" s="219">
        <v>936</v>
      </c>
      <c r="AJ30" s="219">
        <v>928</v>
      </c>
      <c r="AK30" s="219">
        <v>920</v>
      </c>
      <c r="AL30" s="219">
        <v>933</v>
      </c>
      <c r="AM30" s="219">
        <v>930</v>
      </c>
      <c r="AN30" s="219">
        <v>935</v>
      </c>
      <c r="AO30" s="219"/>
      <c r="AP30" s="219"/>
      <c r="AQ30" s="219"/>
      <c r="AR30" s="219"/>
      <c r="AS30" s="228"/>
      <c r="AT30" s="138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1"/>
      <c r="BR30" s="199"/>
      <c r="BS30" s="132"/>
      <c r="BT30" s="165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71"/>
      <c r="CF30" s="174"/>
      <c r="CG30" s="147"/>
      <c r="CH30" s="147"/>
      <c r="CI30" s="147"/>
      <c r="CJ30" s="147"/>
      <c r="CK30" s="147"/>
      <c r="CL30" s="147"/>
      <c r="CM30" s="147"/>
      <c r="CN30" s="147"/>
      <c r="CO30" s="147"/>
      <c r="CP30" s="147"/>
      <c r="CQ30" s="150"/>
      <c r="CR30" s="153"/>
      <c r="CS30" s="138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4"/>
      <c r="DE30" s="106"/>
      <c r="DF30" s="106"/>
      <c r="DG30" s="106"/>
      <c r="DH30" s="106"/>
      <c r="DI30" s="106"/>
      <c r="DJ30" s="106"/>
      <c r="DK30" s="106"/>
      <c r="DL30" s="106"/>
      <c r="DM30" s="106"/>
      <c r="DN30" s="106"/>
      <c r="DO30" s="106"/>
      <c r="DP30" s="109"/>
      <c r="DQ30" s="132"/>
      <c r="DS30" s="114"/>
      <c r="DT30" s="117"/>
    </row>
    <row r="31" spans="1:124" ht="20.25" customHeight="1">
      <c r="A31" s="128"/>
      <c r="B31" s="128"/>
      <c r="C31" s="183"/>
      <c r="D31" s="246"/>
      <c r="E31" s="240"/>
      <c r="F31" s="2" t="s">
        <v>109</v>
      </c>
      <c r="G31" s="3" t="s">
        <v>118</v>
      </c>
      <c r="H31" s="67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9"/>
      <c r="T31" s="186"/>
      <c r="U31" s="322"/>
      <c r="V31" s="138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346"/>
      <c r="AH31" s="345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343"/>
      <c r="AT31" s="138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1"/>
      <c r="BR31" s="199"/>
      <c r="BS31" s="132"/>
      <c r="BT31" s="165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71"/>
      <c r="CF31" s="174"/>
      <c r="CG31" s="147"/>
      <c r="CH31" s="147"/>
      <c r="CI31" s="147"/>
      <c r="CJ31" s="147"/>
      <c r="CK31" s="147"/>
      <c r="CL31" s="147"/>
      <c r="CM31" s="147"/>
      <c r="CN31" s="147"/>
      <c r="CO31" s="147"/>
      <c r="CP31" s="147"/>
      <c r="CQ31" s="150"/>
      <c r="CR31" s="153"/>
      <c r="CS31" s="138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4"/>
      <c r="DE31" s="106"/>
      <c r="DF31" s="106"/>
      <c r="DG31" s="106"/>
      <c r="DH31" s="106"/>
      <c r="DI31" s="106"/>
      <c r="DJ31" s="106"/>
      <c r="DK31" s="106"/>
      <c r="DL31" s="106"/>
      <c r="DM31" s="106"/>
      <c r="DN31" s="106"/>
      <c r="DO31" s="106"/>
      <c r="DP31" s="109"/>
      <c r="DQ31" s="132"/>
      <c r="DS31" s="114"/>
      <c r="DT31" s="117"/>
    </row>
    <row r="32" spans="1:124" ht="20.25" customHeight="1">
      <c r="A32" s="128"/>
      <c r="B32" s="128"/>
      <c r="C32" s="183"/>
      <c r="D32" s="246"/>
      <c r="E32" s="241"/>
      <c r="F32" s="2" t="s">
        <v>110</v>
      </c>
      <c r="G32" s="3" t="s">
        <v>119</v>
      </c>
      <c r="H32" s="67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9"/>
      <c r="T32" s="186"/>
      <c r="U32" s="322"/>
      <c r="V32" s="138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346"/>
      <c r="AH32" s="337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305"/>
      <c r="AT32" s="138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1"/>
      <c r="BR32" s="199"/>
      <c r="BS32" s="132"/>
      <c r="BT32" s="165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71"/>
      <c r="CF32" s="174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50"/>
      <c r="CR32" s="153"/>
      <c r="CS32" s="138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4"/>
      <c r="DE32" s="106"/>
      <c r="DF32" s="106"/>
      <c r="DG32" s="106"/>
      <c r="DH32" s="106"/>
      <c r="DI32" s="106"/>
      <c r="DJ32" s="106"/>
      <c r="DK32" s="106"/>
      <c r="DL32" s="106"/>
      <c r="DM32" s="106"/>
      <c r="DN32" s="106"/>
      <c r="DO32" s="106"/>
      <c r="DP32" s="109"/>
      <c r="DQ32" s="132"/>
      <c r="DS32" s="114"/>
      <c r="DT32" s="117"/>
    </row>
    <row r="33" spans="1:124" ht="20.25" customHeight="1">
      <c r="A33" s="128"/>
      <c r="B33" s="128"/>
      <c r="C33" s="183"/>
      <c r="D33" s="246"/>
      <c r="E33" s="242" t="s">
        <v>6</v>
      </c>
      <c r="F33" s="2" t="s">
        <v>111</v>
      </c>
      <c r="G33" s="3" t="s">
        <v>120</v>
      </c>
      <c r="H33" s="67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9"/>
      <c r="T33" s="186"/>
      <c r="U33" s="322"/>
      <c r="V33" s="138">
        <f>IFERROR((SUM(H33:H35)/COUNTIF(H33:H35,"&gt;0")),0)</f>
        <v>44.64</v>
      </c>
      <c r="W33" s="141">
        <f t="shared" ref="W33:AG33" si="20">IFERROR((SUM(I33:I35)/COUNTIF(I33:I35,"&gt;0")),0)</f>
        <v>44.64</v>
      </c>
      <c r="X33" s="141">
        <f t="shared" si="20"/>
        <v>18.05</v>
      </c>
      <c r="Y33" s="141">
        <f t="shared" si="20"/>
        <v>49.05</v>
      </c>
      <c r="Z33" s="141">
        <f t="shared" si="20"/>
        <v>49.08</v>
      </c>
      <c r="AA33" s="141">
        <f t="shared" si="20"/>
        <v>47.03</v>
      </c>
      <c r="AB33" s="141">
        <f t="shared" si="20"/>
        <v>46.55</v>
      </c>
      <c r="AC33" s="141">
        <f t="shared" si="20"/>
        <v>0</v>
      </c>
      <c r="AD33" s="141">
        <f t="shared" si="20"/>
        <v>0</v>
      </c>
      <c r="AE33" s="141">
        <f t="shared" si="20"/>
        <v>0</v>
      </c>
      <c r="AF33" s="141">
        <f t="shared" si="20"/>
        <v>0</v>
      </c>
      <c r="AG33" s="346">
        <f t="shared" si="20"/>
        <v>0</v>
      </c>
      <c r="AH33" s="338">
        <v>364</v>
      </c>
      <c r="AI33" s="219">
        <v>363</v>
      </c>
      <c r="AJ33" s="219">
        <v>363</v>
      </c>
      <c r="AK33" s="219">
        <v>363</v>
      </c>
      <c r="AL33" s="219">
        <v>363</v>
      </c>
      <c r="AM33" s="219">
        <v>359</v>
      </c>
      <c r="AN33" s="219">
        <v>359</v>
      </c>
      <c r="AO33" s="219"/>
      <c r="AP33" s="219"/>
      <c r="AQ33" s="219"/>
      <c r="AR33" s="219"/>
      <c r="AS33" s="228"/>
      <c r="AT33" s="138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1"/>
      <c r="BR33" s="199"/>
      <c r="BS33" s="132"/>
      <c r="BT33" s="165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71"/>
      <c r="CF33" s="174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50"/>
      <c r="CR33" s="153"/>
      <c r="CS33" s="138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4"/>
      <c r="DE33" s="106"/>
      <c r="DF33" s="106"/>
      <c r="DG33" s="106"/>
      <c r="DH33" s="106"/>
      <c r="DI33" s="106"/>
      <c r="DJ33" s="106"/>
      <c r="DK33" s="106"/>
      <c r="DL33" s="106"/>
      <c r="DM33" s="106"/>
      <c r="DN33" s="106"/>
      <c r="DO33" s="106"/>
      <c r="DP33" s="109"/>
      <c r="DQ33" s="132"/>
      <c r="DS33" s="114"/>
      <c r="DT33" s="117"/>
    </row>
    <row r="34" spans="1:124" ht="20.25" customHeight="1">
      <c r="A34" s="128"/>
      <c r="B34" s="128"/>
      <c r="C34" s="183"/>
      <c r="D34" s="246"/>
      <c r="E34" s="243"/>
      <c r="F34" s="76" t="s">
        <v>112</v>
      </c>
      <c r="G34" s="77" t="s">
        <v>121</v>
      </c>
      <c r="H34" s="67">
        <v>44.64</v>
      </c>
      <c r="I34" s="68">
        <v>44.64</v>
      </c>
      <c r="J34" s="68">
        <v>18.05</v>
      </c>
      <c r="K34" s="68">
        <v>49.05</v>
      </c>
      <c r="L34" s="68">
        <v>49.08</v>
      </c>
      <c r="M34" s="68">
        <v>47.03</v>
      </c>
      <c r="N34" s="68">
        <v>46.55</v>
      </c>
      <c r="O34" s="68"/>
      <c r="P34" s="68"/>
      <c r="Q34" s="68"/>
      <c r="R34" s="68"/>
      <c r="S34" s="69"/>
      <c r="T34" s="186"/>
      <c r="U34" s="322"/>
      <c r="V34" s="138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346"/>
      <c r="AH34" s="345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343"/>
      <c r="AT34" s="138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1"/>
      <c r="BR34" s="199"/>
      <c r="BS34" s="132"/>
      <c r="BT34" s="165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71"/>
      <c r="CF34" s="174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50"/>
      <c r="CR34" s="153"/>
      <c r="CS34" s="138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4"/>
      <c r="DE34" s="106"/>
      <c r="DF34" s="106"/>
      <c r="DG34" s="106"/>
      <c r="DH34" s="106"/>
      <c r="DI34" s="106"/>
      <c r="DJ34" s="106"/>
      <c r="DK34" s="106"/>
      <c r="DL34" s="106"/>
      <c r="DM34" s="106"/>
      <c r="DN34" s="106"/>
      <c r="DO34" s="106"/>
      <c r="DP34" s="109"/>
      <c r="DQ34" s="132"/>
      <c r="DS34" s="114"/>
      <c r="DT34" s="117"/>
    </row>
    <row r="35" spans="1:124" ht="20.25" customHeight="1" thickBot="1">
      <c r="A35" s="128"/>
      <c r="B35" s="128"/>
      <c r="C35" s="184"/>
      <c r="D35" s="247"/>
      <c r="E35" s="244"/>
      <c r="F35" s="10" t="s">
        <v>113</v>
      </c>
      <c r="G35" s="11" t="s">
        <v>122</v>
      </c>
      <c r="H35" s="70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2"/>
      <c r="T35" s="186"/>
      <c r="U35" s="322"/>
      <c r="V35" s="139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347"/>
      <c r="AH35" s="344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9"/>
      <c r="AT35" s="139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5"/>
      <c r="BF35" s="195"/>
      <c r="BG35" s="195"/>
      <c r="BH35" s="195"/>
      <c r="BI35" s="195"/>
      <c r="BJ35" s="195"/>
      <c r="BK35" s="195"/>
      <c r="BL35" s="195"/>
      <c r="BM35" s="195"/>
      <c r="BN35" s="195"/>
      <c r="BO35" s="195"/>
      <c r="BP35" s="195"/>
      <c r="BQ35" s="197"/>
      <c r="BR35" s="200"/>
      <c r="BS35" s="133"/>
      <c r="BT35" s="165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71"/>
      <c r="CF35" s="174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50"/>
      <c r="CR35" s="153"/>
      <c r="CS35" s="138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4"/>
      <c r="DE35" s="106"/>
      <c r="DF35" s="106"/>
      <c r="DG35" s="106"/>
      <c r="DH35" s="106"/>
      <c r="DI35" s="106"/>
      <c r="DJ35" s="106"/>
      <c r="DK35" s="106"/>
      <c r="DL35" s="106"/>
      <c r="DM35" s="106"/>
      <c r="DN35" s="106"/>
      <c r="DO35" s="106"/>
      <c r="DP35" s="109"/>
      <c r="DQ35" s="132"/>
      <c r="DS35" s="114"/>
      <c r="DT35" s="117"/>
    </row>
    <row r="36" spans="1:124" ht="20.25" customHeight="1">
      <c r="A36" s="128"/>
      <c r="B36" s="128"/>
      <c r="C36" s="258" t="s">
        <v>14</v>
      </c>
      <c r="D36" s="272" t="s">
        <v>16</v>
      </c>
      <c r="E36" s="17" t="s">
        <v>4</v>
      </c>
      <c r="F36" s="76" t="s">
        <v>100</v>
      </c>
      <c r="G36" s="77" t="s">
        <v>102</v>
      </c>
      <c r="H36" s="64">
        <v>17.54</v>
      </c>
      <c r="I36" s="65">
        <v>17.54</v>
      </c>
      <c r="J36" s="65">
        <v>32.119999999999997</v>
      </c>
      <c r="K36" s="65">
        <v>22.03</v>
      </c>
      <c r="L36" s="65">
        <v>21.89</v>
      </c>
      <c r="M36" s="65">
        <v>18.39</v>
      </c>
      <c r="N36" s="65">
        <v>17.489999999999998</v>
      </c>
      <c r="O36" s="65"/>
      <c r="P36" s="65"/>
      <c r="Q36" s="65"/>
      <c r="R36" s="65"/>
      <c r="S36" s="66"/>
      <c r="T36" s="186"/>
      <c r="U36" s="322"/>
      <c r="V36" s="24">
        <f>IFERROR((SUM(H36:H36)/COUNTIF(H36:H36,"&gt;0")),0)</f>
        <v>17.54</v>
      </c>
      <c r="W36" s="25">
        <f t="shared" ref="W36:AG38" si="21">IFERROR((SUM(I36:I36)/COUNTIF(I36:I36,"&gt;0")),0)</f>
        <v>17.54</v>
      </c>
      <c r="X36" s="25">
        <f t="shared" si="21"/>
        <v>32.119999999999997</v>
      </c>
      <c r="Y36" s="25">
        <f t="shared" si="21"/>
        <v>22.03</v>
      </c>
      <c r="Z36" s="25">
        <f t="shared" si="21"/>
        <v>21.89</v>
      </c>
      <c r="AA36" s="25">
        <f t="shared" si="21"/>
        <v>18.39</v>
      </c>
      <c r="AB36" s="25">
        <f t="shared" si="21"/>
        <v>17.489999999999998</v>
      </c>
      <c r="AC36" s="25">
        <f t="shared" si="21"/>
        <v>0</v>
      </c>
      <c r="AD36" s="25">
        <f t="shared" si="21"/>
        <v>0</v>
      </c>
      <c r="AE36" s="25">
        <f t="shared" si="21"/>
        <v>0</v>
      </c>
      <c r="AF36" s="25">
        <f t="shared" si="21"/>
        <v>0</v>
      </c>
      <c r="AG36" s="26">
        <f t="shared" si="21"/>
        <v>0</v>
      </c>
      <c r="AH36" s="61">
        <v>97</v>
      </c>
      <c r="AI36" s="31">
        <v>93</v>
      </c>
      <c r="AJ36" s="31">
        <v>93</v>
      </c>
      <c r="AK36" s="31">
        <v>93</v>
      </c>
      <c r="AL36" s="31">
        <v>93</v>
      </c>
      <c r="AM36" s="31">
        <v>94</v>
      </c>
      <c r="AN36" s="31">
        <v>94</v>
      </c>
      <c r="AO36" s="31"/>
      <c r="AP36" s="31"/>
      <c r="AQ36" s="31"/>
      <c r="AR36" s="31"/>
      <c r="AS36" s="37"/>
      <c r="AT36" s="137">
        <f>IFERROR((((V36*AH36)+(V37*AH37)+(V38*AH38))/SUM(AH36:AH38)),0)</f>
        <v>22.222547468354431</v>
      </c>
      <c r="AU36" s="140">
        <f t="shared" ref="AU36:BE36" si="22">IFERROR((((W36*AI36)+(W37*AI37)+(W38*AI38))/SUM(AI36:AI38)),0)</f>
        <v>22.221816720257237</v>
      </c>
      <c r="AV36" s="140">
        <f t="shared" si="22"/>
        <v>40.298836833602586</v>
      </c>
      <c r="AW36" s="140">
        <f t="shared" si="22"/>
        <v>28.944209677419348</v>
      </c>
      <c r="AX36" s="140">
        <f t="shared" si="22"/>
        <v>29.493713826366559</v>
      </c>
      <c r="AY36" s="140">
        <f t="shared" si="22"/>
        <v>25.074832000000001</v>
      </c>
      <c r="AZ36" s="140">
        <f t="shared" si="22"/>
        <v>28.956185897435905</v>
      </c>
      <c r="BA36" s="140">
        <f t="shared" si="22"/>
        <v>0</v>
      </c>
      <c r="BB36" s="140">
        <f t="shared" si="22"/>
        <v>0</v>
      </c>
      <c r="BC36" s="140">
        <f t="shared" si="22"/>
        <v>0</v>
      </c>
      <c r="BD36" s="140">
        <f t="shared" si="22"/>
        <v>0</v>
      </c>
      <c r="BE36" s="143">
        <f t="shared" si="22"/>
        <v>0</v>
      </c>
      <c r="BF36" s="214">
        <f>SUM(AH36:AH38)</f>
        <v>632</v>
      </c>
      <c r="BG36" s="214">
        <f t="shared" ref="BG36:BQ36" si="23">SUM(AI36:AI38)</f>
        <v>622</v>
      </c>
      <c r="BH36" s="214">
        <f t="shared" si="23"/>
        <v>619</v>
      </c>
      <c r="BI36" s="214">
        <f t="shared" si="23"/>
        <v>620</v>
      </c>
      <c r="BJ36" s="214">
        <f t="shared" si="23"/>
        <v>622</v>
      </c>
      <c r="BK36" s="214">
        <f t="shared" si="23"/>
        <v>625</v>
      </c>
      <c r="BL36" s="214">
        <f t="shared" si="23"/>
        <v>624</v>
      </c>
      <c r="BM36" s="214">
        <f t="shared" si="23"/>
        <v>0</v>
      </c>
      <c r="BN36" s="214">
        <f t="shared" si="23"/>
        <v>0</v>
      </c>
      <c r="BO36" s="214">
        <f t="shared" si="23"/>
        <v>0</v>
      </c>
      <c r="BP36" s="214">
        <f t="shared" si="23"/>
        <v>0</v>
      </c>
      <c r="BQ36" s="215">
        <f t="shared" si="23"/>
        <v>0</v>
      </c>
      <c r="BR36" s="202">
        <f>IFERROR(((AT36*BF36)+(AU36*BG36)+(AV36*BH36)+(AW36*BI36)+(AX36*BJ36)+(AY36*BK36)+(AZ36*BL36)+(BA36*BM36)+(BB36*BN36)+(BC36*BO36)+(BD36*BP36)+(BE36*BQ36))/SUM(BF36:BQ38),0)</f>
        <v>28.149067369385886</v>
      </c>
      <c r="BS36" s="131">
        <f>IFERROR(((BR36*(SUM(BF36:BQ38)))+(BR39*(SUM(BF39:BQ47))))/(SUM(BF36:BQ47)),0)</f>
        <v>33.800034799114208</v>
      </c>
      <c r="BT36" s="165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71"/>
      <c r="CF36" s="174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50"/>
      <c r="CR36" s="153"/>
      <c r="CS36" s="138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4"/>
      <c r="DE36" s="106"/>
      <c r="DF36" s="106"/>
      <c r="DG36" s="106"/>
      <c r="DH36" s="106"/>
      <c r="DI36" s="106"/>
      <c r="DJ36" s="106"/>
      <c r="DK36" s="106"/>
      <c r="DL36" s="106"/>
      <c r="DM36" s="106"/>
      <c r="DN36" s="106"/>
      <c r="DO36" s="106"/>
      <c r="DP36" s="109"/>
      <c r="DQ36" s="132"/>
      <c r="DS36" s="114"/>
      <c r="DT36" s="117"/>
    </row>
    <row r="37" spans="1:124" ht="20.25" customHeight="1">
      <c r="A37" s="128"/>
      <c r="B37" s="128"/>
      <c r="C37" s="258"/>
      <c r="D37" s="272"/>
      <c r="E37" s="18" t="s">
        <v>5</v>
      </c>
      <c r="F37" s="76" t="s">
        <v>270</v>
      </c>
      <c r="G37" s="77" t="s">
        <v>103</v>
      </c>
      <c r="H37" s="67">
        <v>18.91</v>
      </c>
      <c r="I37" s="68">
        <v>18.91</v>
      </c>
      <c r="J37" s="68">
        <v>38.57</v>
      </c>
      <c r="K37" s="68">
        <v>25.81</v>
      </c>
      <c r="L37" s="68">
        <v>25.8</v>
      </c>
      <c r="M37" s="68">
        <v>22.77</v>
      </c>
      <c r="N37" s="68">
        <v>25.14</v>
      </c>
      <c r="O37" s="68"/>
      <c r="P37" s="68"/>
      <c r="Q37" s="68"/>
      <c r="R37" s="68"/>
      <c r="S37" s="69"/>
      <c r="T37" s="186"/>
      <c r="U37" s="322"/>
      <c r="V37" s="28">
        <f>IFERROR((SUM(H37:H37)/COUNTIF(H37:H37,"&gt;0")),0)</f>
        <v>18.91</v>
      </c>
      <c r="W37" s="29">
        <f>IFERROR((SUM(I37:I37)/COUNTIF(I37:I37,"&gt;0")),0)</f>
        <v>18.91</v>
      </c>
      <c r="X37" s="29">
        <f t="shared" si="21"/>
        <v>38.57</v>
      </c>
      <c r="Y37" s="29">
        <f t="shared" si="21"/>
        <v>25.81</v>
      </c>
      <c r="Z37" s="29">
        <f t="shared" si="21"/>
        <v>25.8</v>
      </c>
      <c r="AA37" s="29">
        <f t="shared" si="21"/>
        <v>22.77</v>
      </c>
      <c r="AB37" s="29">
        <f t="shared" si="21"/>
        <v>25.14</v>
      </c>
      <c r="AC37" s="29">
        <f t="shared" si="21"/>
        <v>0</v>
      </c>
      <c r="AD37" s="29">
        <f t="shared" si="21"/>
        <v>0</v>
      </c>
      <c r="AE37" s="29">
        <f t="shared" si="21"/>
        <v>0</v>
      </c>
      <c r="AF37" s="29">
        <f t="shared" si="21"/>
        <v>0</v>
      </c>
      <c r="AG37" s="30">
        <f t="shared" si="21"/>
        <v>0</v>
      </c>
      <c r="AH37" s="61">
        <v>193</v>
      </c>
      <c r="AI37" s="31">
        <v>193</v>
      </c>
      <c r="AJ37" s="31">
        <v>192</v>
      </c>
      <c r="AK37" s="31">
        <v>192</v>
      </c>
      <c r="AL37" s="31">
        <v>193</v>
      </c>
      <c r="AM37" s="31">
        <v>193</v>
      </c>
      <c r="AN37" s="31">
        <v>193</v>
      </c>
      <c r="AO37" s="31"/>
      <c r="AP37" s="31"/>
      <c r="AQ37" s="31"/>
      <c r="AR37" s="31"/>
      <c r="AS37" s="37"/>
      <c r="AT37" s="138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5"/>
      <c r="BR37" s="202"/>
      <c r="BS37" s="132"/>
      <c r="BT37" s="165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71"/>
      <c r="CF37" s="174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50"/>
      <c r="CR37" s="153"/>
      <c r="CS37" s="138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4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6"/>
      <c r="DP37" s="109"/>
      <c r="DQ37" s="132"/>
      <c r="DS37" s="114"/>
      <c r="DT37" s="117"/>
    </row>
    <row r="38" spans="1:124" ht="20.25" customHeight="1">
      <c r="A38" s="128"/>
      <c r="B38" s="128"/>
      <c r="C38" s="258"/>
      <c r="D38" s="272"/>
      <c r="E38" s="19" t="s">
        <v>6</v>
      </c>
      <c r="F38" s="76" t="s">
        <v>101</v>
      </c>
      <c r="G38" s="77" t="s">
        <v>104</v>
      </c>
      <c r="H38" s="67">
        <v>25.42</v>
      </c>
      <c r="I38" s="68">
        <v>25.42</v>
      </c>
      <c r="J38" s="68">
        <v>43.57</v>
      </c>
      <c r="K38" s="68">
        <v>32.659999999999997</v>
      </c>
      <c r="L38" s="68">
        <v>33.72</v>
      </c>
      <c r="M38" s="68">
        <v>28.25</v>
      </c>
      <c r="N38" s="68">
        <v>34.340000000000003</v>
      </c>
      <c r="O38" s="68"/>
      <c r="P38" s="68"/>
      <c r="Q38" s="68"/>
      <c r="R38" s="68"/>
      <c r="S38" s="69"/>
      <c r="T38" s="186"/>
      <c r="U38" s="322"/>
      <c r="V38" s="28">
        <f>IFERROR((SUM(H38:H38)/COUNTIF(H38:H38,"&gt;0")),0)</f>
        <v>25.42</v>
      </c>
      <c r="W38" s="29">
        <f>IFERROR((SUM(I38:I38)/COUNTIF(I38:I38,"&gt;0")),0)</f>
        <v>25.42</v>
      </c>
      <c r="X38" s="29">
        <f t="shared" si="21"/>
        <v>43.57</v>
      </c>
      <c r="Y38" s="29">
        <f t="shared" si="21"/>
        <v>32.659999999999997</v>
      </c>
      <c r="Z38" s="29">
        <f t="shared" si="21"/>
        <v>33.72</v>
      </c>
      <c r="AA38" s="29">
        <f t="shared" si="21"/>
        <v>28.25</v>
      </c>
      <c r="AB38" s="29">
        <f t="shared" si="21"/>
        <v>34.340000000000003</v>
      </c>
      <c r="AC38" s="29">
        <f t="shared" si="21"/>
        <v>0</v>
      </c>
      <c r="AD38" s="29">
        <f t="shared" si="21"/>
        <v>0</v>
      </c>
      <c r="AE38" s="29">
        <f t="shared" si="21"/>
        <v>0</v>
      </c>
      <c r="AF38" s="29">
        <f t="shared" si="21"/>
        <v>0</v>
      </c>
      <c r="AG38" s="30">
        <f t="shared" si="21"/>
        <v>0</v>
      </c>
      <c r="AH38" s="61">
        <v>342</v>
      </c>
      <c r="AI38" s="31">
        <v>336</v>
      </c>
      <c r="AJ38" s="31">
        <v>334</v>
      </c>
      <c r="AK38" s="31">
        <v>335</v>
      </c>
      <c r="AL38" s="31">
        <v>336</v>
      </c>
      <c r="AM38" s="31">
        <v>338</v>
      </c>
      <c r="AN38" s="31">
        <v>337</v>
      </c>
      <c r="AO38" s="31"/>
      <c r="AP38" s="31"/>
      <c r="AQ38" s="31"/>
      <c r="AR38" s="31"/>
      <c r="AS38" s="37"/>
      <c r="AT38" s="138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5"/>
      <c r="BR38" s="202"/>
      <c r="BS38" s="132"/>
      <c r="BT38" s="165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71"/>
      <c r="CF38" s="174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50"/>
      <c r="CR38" s="153"/>
      <c r="CS38" s="138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4"/>
      <c r="DE38" s="106"/>
      <c r="DF38" s="106"/>
      <c r="DG38" s="106"/>
      <c r="DH38" s="106"/>
      <c r="DI38" s="106"/>
      <c r="DJ38" s="106"/>
      <c r="DK38" s="106"/>
      <c r="DL38" s="106"/>
      <c r="DM38" s="106"/>
      <c r="DN38" s="106"/>
      <c r="DO38" s="106"/>
      <c r="DP38" s="109"/>
      <c r="DQ38" s="132"/>
      <c r="DS38" s="114"/>
      <c r="DT38" s="117"/>
    </row>
    <row r="39" spans="1:124" ht="20.25" customHeight="1">
      <c r="A39" s="128"/>
      <c r="B39" s="128"/>
      <c r="C39" s="258"/>
      <c r="D39" s="260" t="s">
        <v>17</v>
      </c>
      <c r="E39" s="251" t="s">
        <v>4</v>
      </c>
      <c r="F39" s="76" t="s">
        <v>58</v>
      </c>
      <c r="G39" s="77" t="s">
        <v>67</v>
      </c>
      <c r="H39" s="67">
        <v>13.73</v>
      </c>
      <c r="I39" s="68">
        <v>13.73</v>
      </c>
      <c r="J39" s="68">
        <v>14.57</v>
      </c>
      <c r="K39" s="68">
        <v>15.12</v>
      </c>
      <c r="L39" s="68">
        <v>17.28</v>
      </c>
      <c r="M39" s="68">
        <v>15.93</v>
      </c>
      <c r="N39" s="68">
        <v>15.77</v>
      </c>
      <c r="O39" s="68"/>
      <c r="P39" s="68"/>
      <c r="Q39" s="68"/>
      <c r="R39" s="68"/>
      <c r="S39" s="69"/>
      <c r="T39" s="186"/>
      <c r="U39" s="322"/>
      <c r="V39" s="138">
        <f>IFERROR((SUM(H39:H41)/COUNTIF(H39:H41,"&gt;0")),0)</f>
        <v>13.73</v>
      </c>
      <c r="W39" s="141">
        <f>IFERROR((SUM(I39:I41)/COUNTIF(I39:I41,"&gt;0")),0)</f>
        <v>13.73</v>
      </c>
      <c r="X39" s="141">
        <f t="shared" ref="X39:AE39" si="24">IFERROR((SUM(J39:J41)/COUNTIF(J39:J41,"&gt;0")),0)</f>
        <v>14.57</v>
      </c>
      <c r="Y39" s="141">
        <f t="shared" si="24"/>
        <v>15.12</v>
      </c>
      <c r="Z39" s="141">
        <f t="shared" si="24"/>
        <v>17.28</v>
      </c>
      <c r="AA39" s="141">
        <f t="shared" si="24"/>
        <v>15.93</v>
      </c>
      <c r="AB39" s="141">
        <f t="shared" si="24"/>
        <v>15.77</v>
      </c>
      <c r="AC39" s="141">
        <f t="shared" si="24"/>
        <v>0</v>
      </c>
      <c r="AD39" s="141">
        <f t="shared" si="24"/>
        <v>0</v>
      </c>
      <c r="AE39" s="141">
        <f t="shared" si="24"/>
        <v>0</v>
      </c>
      <c r="AF39" s="141">
        <f t="shared" ref="AF39:AG39" si="25">IFERROR((SUM(R39:R41)/COUNTIF(R39:R41,"&gt;0")),0)</f>
        <v>0</v>
      </c>
      <c r="AG39" s="144">
        <f t="shared" si="25"/>
        <v>0</v>
      </c>
      <c r="AH39" s="231">
        <v>51</v>
      </c>
      <c r="AI39" s="219">
        <v>50</v>
      </c>
      <c r="AJ39" s="219">
        <v>51</v>
      </c>
      <c r="AK39" s="219">
        <v>50</v>
      </c>
      <c r="AL39" s="219">
        <v>51</v>
      </c>
      <c r="AM39" s="219">
        <v>50</v>
      </c>
      <c r="AN39" s="219">
        <v>51</v>
      </c>
      <c r="AO39" s="219"/>
      <c r="AP39" s="219"/>
      <c r="AQ39" s="219"/>
      <c r="AR39" s="219"/>
      <c r="AS39" s="226"/>
      <c r="AT39" s="138">
        <f>IFERROR((((V39*AH39)+(V42*AH42)+(V45*AH45))/SUM(AH39:AH47)),0)</f>
        <v>35.131073512252037</v>
      </c>
      <c r="AU39" s="141">
        <f t="shared" ref="AU39:BE39" si="26">IFERROR((((W39*AI39)+(W42*AI42)+(W45*AI45))/SUM(AI39:AI47)),0)</f>
        <v>35.13333597464343</v>
      </c>
      <c r="AV39" s="141">
        <f t="shared" si="26"/>
        <v>29.408496680983991</v>
      </c>
      <c r="AW39" s="141">
        <f t="shared" si="26"/>
        <v>31.481086439333865</v>
      </c>
      <c r="AX39" s="141">
        <f t="shared" si="26"/>
        <v>34.868401094605161</v>
      </c>
      <c r="AY39" s="141">
        <f t="shared" si="26"/>
        <v>37.924823151125402</v>
      </c>
      <c r="AZ39" s="141">
        <f t="shared" si="26"/>
        <v>42.454320598660892</v>
      </c>
      <c r="BA39" s="141">
        <f t="shared" si="26"/>
        <v>0</v>
      </c>
      <c r="BB39" s="141">
        <f t="shared" si="26"/>
        <v>0</v>
      </c>
      <c r="BC39" s="141">
        <f t="shared" si="26"/>
        <v>0</v>
      </c>
      <c r="BD39" s="141">
        <f t="shared" si="26"/>
        <v>0</v>
      </c>
      <c r="BE39" s="144">
        <f t="shared" si="26"/>
        <v>0</v>
      </c>
      <c r="BF39" s="193">
        <f>SUM(AH39:AH47)</f>
        <v>2571</v>
      </c>
      <c r="BG39" s="193">
        <f t="shared" ref="BG39:BQ39" si="27">SUM(AI39:AI47)</f>
        <v>2524</v>
      </c>
      <c r="BH39" s="193">
        <f t="shared" si="27"/>
        <v>2561</v>
      </c>
      <c r="BI39" s="193">
        <f t="shared" si="27"/>
        <v>2522</v>
      </c>
      <c r="BJ39" s="193">
        <f t="shared" si="27"/>
        <v>2558</v>
      </c>
      <c r="BK39" s="193">
        <f t="shared" si="27"/>
        <v>2488</v>
      </c>
      <c r="BL39" s="193">
        <f t="shared" si="27"/>
        <v>2539</v>
      </c>
      <c r="BM39" s="193">
        <f t="shared" si="27"/>
        <v>0</v>
      </c>
      <c r="BN39" s="193">
        <f t="shared" si="27"/>
        <v>0</v>
      </c>
      <c r="BO39" s="193">
        <f t="shared" si="27"/>
        <v>0</v>
      </c>
      <c r="BP39" s="193">
        <f t="shared" si="27"/>
        <v>0</v>
      </c>
      <c r="BQ39" s="196">
        <f t="shared" si="27"/>
        <v>0</v>
      </c>
      <c r="BR39" s="201">
        <f>IFERROR(((AT39*BF39)+(AU39*BG39)+(AV39*BH39)+(AW39*BI39)+(AX39*BJ39)+(AY39*BK39)+(AZ39*BL39)+(BA39*BM39)+(BB39*BN39)+(BC39*BO39)+(BD39*BP39)+(BE39*BQ39))/SUM(BF39:BQ47),0)</f>
        <v>35.188360074311774</v>
      </c>
      <c r="BS39" s="132"/>
      <c r="BT39" s="165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71"/>
      <c r="CF39" s="174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50"/>
      <c r="CR39" s="153"/>
      <c r="CS39" s="138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4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6"/>
      <c r="DP39" s="109"/>
      <c r="DQ39" s="132"/>
      <c r="DS39" s="114"/>
      <c r="DT39" s="117"/>
    </row>
    <row r="40" spans="1:124" ht="20.25" customHeight="1">
      <c r="A40" s="128"/>
      <c r="B40" s="128"/>
      <c r="C40" s="258"/>
      <c r="D40" s="261"/>
      <c r="E40" s="237"/>
      <c r="F40" s="2" t="s">
        <v>59</v>
      </c>
      <c r="G40" s="3" t="s">
        <v>68</v>
      </c>
      <c r="H40" s="67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9"/>
      <c r="T40" s="186"/>
      <c r="U40" s="322"/>
      <c r="V40" s="138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4"/>
      <c r="AH40" s="23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4"/>
      <c r="AT40" s="138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1"/>
      <c r="BR40" s="199"/>
      <c r="BS40" s="132"/>
      <c r="BT40" s="165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71"/>
      <c r="CF40" s="174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50"/>
      <c r="CR40" s="153"/>
      <c r="CS40" s="138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4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6"/>
      <c r="DP40" s="109"/>
      <c r="DQ40" s="132"/>
      <c r="DS40" s="114"/>
      <c r="DT40" s="117"/>
    </row>
    <row r="41" spans="1:124" ht="20.25" customHeight="1">
      <c r="A41" s="128"/>
      <c r="B41" s="128"/>
      <c r="C41" s="258"/>
      <c r="D41" s="261"/>
      <c r="E41" s="238"/>
      <c r="F41" s="2" t="s">
        <v>60</v>
      </c>
      <c r="G41" s="3" t="s">
        <v>69</v>
      </c>
      <c r="H41" s="67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9"/>
      <c r="T41" s="186"/>
      <c r="U41" s="322"/>
      <c r="V41" s="138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4"/>
      <c r="AH41" s="234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5"/>
      <c r="AT41" s="138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1"/>
      <c r="BR41" s="199"/>
      <c r="BS41" s="132"/>
      <c r="BT41" s="165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71"/>
      <c r="CF41" s="174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50"/>
      <c r="CR41" s="153"/>
      <c r="CS41" s="138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4"/>
      <c r="DE41" s="106"/>
      <c r="DF41" s="106"/>
      <c r="DG41" s="106"/>
      <c r="DH41" s="106"/>
      <c r="DI41" s="106"/>
      <c r="DJ41" s="106"/>
      <c r="DK41" s="106"/>
      <c r="DL41" s="106"/>
      <c r="DM41" s="106"/>
      <c r="DN41" s="106"/>
      <c r="DO41" s="106"/>
      <c r="DP41" s="109"/>
      <c r="DQ41" s="132"/>
      <c r="DS41" s="114"/>
      <c r="DT41" s="117"/>
    </row>
    <row r="42" spans="1:124" ht="20.25" customHeight="1">
      <c r="A42" s="128"/>
      <c r="B42" s="128"/>
      <c r="C42" s="258"/>
      <c r="D42" s="261"/>
      <c r="E42" s="239" t="s">
        <v>5</v>
      </c>
      <c r="F42" s="2" t="s">
        <v>61</v>
      </c>
      <c r="G42" s="3" t="s">
        <v>70</v>
      </c>
      <c r="H42" s="67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9"/>
      <c r="T42" s="186"/>
      <c r="U42" s="322"/>
      <c r="V42" s="138">
        <f>IFERROR((SUM(H42:H44)/COUNTIF(H42:H44,"&gt;0")),0)</f>
        <v>32.619999999999997</v>
      </c>
      <c r="W42" s="141">
        <f t="shared" ref="W42:AG42" si="28">IFERROR((SUM(I42:I44)/COUNTIF(I42:I44,"&gt;0")),0)</f>
        <v>32.619999999999997</v>
      </c>
      <c r="X42" s="141">
        <f t="shared" ref="X42" si="29">IFERROR((SUM(J42:J44)/COUNTIF(J42:J44,"&gt;0")),0)</f>
        <v>33.54</v>
      </c>
      <c r="Y42" s="141">
        <f t="shared" ref="Y42" si="30">IFERROR((SUM(K42:K44)/COUNTIF(K42:K44,"&gt;0")),0)</f>
        <v>30.2</v>
      </c>
      <c r="Z42" s="141">
        <f t="shared" ref="Z42" si="31">IFERROR((SUM(L42:L44)/COUNTIF(L42:L44,"&gt;0")),0)</f>
        <v>32.19</v>
      </c>
      <c r="AA42" s="141">
        <f t="shared" ref="AA42" si="32">IFERROR((SUM(M42:M44)/COUNTIF(M42:M44,"&gt;0")),0)</f>
        <v>32.07</v>
      </c>
      <c r="AB42" s="141">
        <f t="shared" ref="AB42" si="33">IFERROR((SUM(N42:N44)/COUNTIF(N42:N44,"&gt;0")),0)</f>
        <v>40.770000000000003</v>
      </c>
      <c r="AC42" s="141">
        <f t="shared" ref="AC42" si="34">IFERROR((SUM(O42:O44)/COUNTIF(O42:O44,"&gt;0")),0)</f>
        <v>0</v>
      </c>
      <c r="AD42" s="141">
        <f t="shared" ref="AD42" si="35">IFERROR((SUM(P42:P44)/COUNTIF(P42:P44,"&gt;0")),0)</f>
        <v>0</v>
      </c>
      <c r="AE42" s="141">
        <f t="shared" ref="AE42" si="36">IFERROR((SUM(Q42:Q44)/COUNTIF(Q42:Q44,"&gt;0")),0)</f>
        <v>0</v>
      </c>
      <c r="AF42" s="141">
        <f t="shared" si="28"/>
        <v>0</v>
      </c>
      <c r="AG42" s="144">
        <f t="shared" si="28"/>
        <v>0</v>
      </c>
      <c r="AH42" s="231">
        <v>1389</v>
      </c>
      <c r="AI42" s="219">
        <v>1363</v>
      </c>
      <c r="AJ42" s="219">
        <v>1383</v>
      </c>
      <c r="AK42" s="219">
        <v>1362</v>
      </c>
      <c r="AL42" s="219">
        <v>1381</v>
      </c>
      <c r="AM42" s="219">
        <v>1343</v>
      </c>
      <c r="AN42" s="219">
        <v>1371</v>
      </c>
      <c r="AO42" s="219"/>
      <c r="AP42" s="219"/>
      <c r="AQ42" s="219"/>
      <c r="AR42" s="219"/>
      <c r="AS42" s="226"/>
      <c r="AT42" s="138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1"/>
      <c r="BR42" s="199"/>
      <c r="BS42" s="132"/>
      <c r="BT42" s="165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71"/>
      <c r="CF42" s="174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50"/>
      <c r="CR42" s="153"/>
      <c r="CS42" s="138"/>
      <c r="CT42" s="141"/>
      <c r="CU42" s="141"/>
      <c r="CV42" s="141"/>
      <c r="CW42" s="141"/>
      <c r="CX42" s="141"/>
      <c r="CY42" s="141"/>
      <c r="CZ42" s="141"/>
      <c r="DA42" s="141"/>
      <c r="DB42" s="141"/>
      <c r="DC42" s="141"/>
      <c r="DD42" s="144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9"/>
      <c r="DQ42" s="132"/>
      <c r="DS42" s="114"/>
      <c r="DT42" s="117"/>
    </row>
    <row r="43" spans="1:124" ht="20.25" customHeight="1">
      <c r="A43" s="128"/>
      <c r="B43" s="128"/>
      <c r="C43" s="258"/>
      <c r="D43" s="261"/>
      <c r="E43" s="240"/>
      <c r="F43" s="84" t="s">
        <v>62</v>
      </c>
      <c r="G43" s="85" t="s">
        <v>71</v>
      </c>
      <c r="H43" s="67">
        <v>32.619999999999997</v>
      </c>
      <c r="I43" s="68">
        <v>32.619999999999997</v>
      </c>
      <c r="J43" s="68">
        <v>33.54</v>
      </c>
      <c r="K43" s="68">
        <v>30.2</v>
      </c>
      <c r="L43" s="68">
        <v>32.19</v>
      </c>
      <c r="M43" s="68">
        <v>32.07</v>
      </c>
      <c r="N43" s="68">
        <v>40.770000000000003</v>
      </c>
      <c r="O43" s="68"/>
      <c r="P43" s="68"/>
      <c r="Q43" s="68"/>
      <c r="R43" s="68"/>
      <c r="S43" s="69"/>
      <c r="T43" s="186"/>
      <c r="U43" s="322"/>
      <c r="V43" s="138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4"/>
      <c r="AH43" s="23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4"/>
      <c r="AT43" s="138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1"/>
      <c r="BR43" s="199"/>
      <c r="BS43" s="132"/>
      <c r="BT43" s="165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71"/>
      <c r="CF43" s="174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50"/>
      <c r="CR43" s="153"/>
      <c r="CS43" s="138"/>
      <c r="CT43" s="141"/>
      <c r="CU43" s="141"/>
      <c r="CV43" s="141"/>
      <c r="CW43" s="141"/>
      <c r="CX43" s="141"/>
      <c r="CY43" s="141"/>
      <c r="CZ43" s="141"/>
      <c r="DA43" s="141"/>
      <c r="DB43" s="141"/>
      <c r="DC43" s="141"/>
      <c r="DD43" s="144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9"/>
      <c r="DQ43" s="132"/>
      <c r="DS43" s="114"/>
      <c r="DT43" s="117"/>
    </row>
    <row r="44" spans="1:124" ht="20.25" customHeight="1">
      <c r="A44" s="128"/>
      <c r="B44" s="128"/>
      <c r="C44" s="258"/>
      <c r="D44" s="261"/>
      <c r="E44" s="241"/>
      <c r="F44" s="2" t="s">
        <v>63</v>
      </c>
      <c r="G44" s="3" t="s">
        <v>72</v>
      </c>
      <c r="H44" s="67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9"/>
      <c r="T44" s="186"/>
      <c r="U44" s="322"/>
      <c r="V44" s="138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4"/>
      <c r="AH44" s="234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5"/>
      <c r="AT44" s="138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1"/>
      <c r="BR44" s="199"/>
      <c r="BS44" s="132"/>
      <c r="BT44" s="165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71"/>
      <c r="CF44" s="174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50"/>
      <c r="CR44" s="153"/>
      <c r="CS44" s="138"/>
      <c r="CT44" s="141"/>
      <c r="CU44" s="141"/>
      <c r="CV44" s="141"/>
      <c r="CW44" s="141"/>
      <c r="CX44" s="141"/>
      <c r="CY44" s="141"/>
      <c r="CZ44" s="141"/>
      <c r="DA44" s="141"/>
      <c r="DB44" s="141"/>
      <c r="DC44" s="141"/>
      <c r="DD44" s="144"/>
      <c r="DE44" s="106"/>
      <c r="DF44" s="106"/>
      <c r="DG44" s="106"/>
      <c r="DH44" s="106"/>
      <c r="DI44" s="106"/>
      <c r="DJ44" s="106"/>
      <c r="DK44" s="106"/>
      <c r="DL44" s="106"/>
      <c r="DM44" s="106"/>
      <c r="DN44" s="106"/>
      <c r="DO44" s="106"/>
      <c r="DP44" s="109"/>
      <c r="DQ44" s="132"/>
      <c r="DS44" s="114"/>
      <c r="DT44" s="117"/>
    </row>
    <row r="45" spans="1:124" ht="20.25" customHeight="1">
      <c r="A45" s="128"/>
      <c r="B45" s="128"/>
      <c r="C45" s="258"/>
      <c r="D45" s="261"/>
      <c r="E45" s="242" t="s">
        <v>6</v>
      </c>
      <c r="F45" s="2" t="s">
        <v>64</v>
      </c>
      <c r="G45" s="3" t="s">
        <v>73</v>
      </c>
      <c r="H45" s="67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9"/>
      <c r="T45" s="186"/>
      <c r="U45" s="322"/>
      <c r="V45" s="138">
        <f t="shared" ref="V45:AA45" si="37">IFERROR((SUM(H45:H47)/COUNTIF(H45:H47,"&gt;0")),0)</f>
        <v>39.18</v>
      </c>
      <c r="W45" s="141">
        <f t="shared" si="37"/>
        <v>39.18</v>
      </c>
      <c r="X45" s="141">
        <f t="shared" si="37"/>
        <v>25.01</v>
      </c>
      <c r="Y45" s="141">
        <f t="shared" si="37"/>
        <v>33.79</v>
      </c>
      <c r="Z45" s="141">
        <f t="shared" si="37"/>
        <v>38.950000000000003</v>
      </c>
      <c r="AA45" s="141">
        <f t="shared" si="37"/>
        <v>46.11</v>
      </c>
      <c r="AB45" s="141">
        <f t="shared" ref="AB45:AG45" si="38">IFERROR((SUM(N45:N47)/COUNTIF(N45:N47,"&gt;0")),0)</f>
        <v>45.74</v>
      </c>
      <c r="AC45" s="141">
        <f t="shared" si="38"/>
        <v>0</v>
      </c>
      <c r="AD45" s="141">
        <f t="shared" si="38"/>
        <v>0</v>
      </c>
      <c r="AE45" s="141">
        <f t="shared" si="38"/>
        <v>0</v>
      </c>
      <c r="AF45" s="141">
        <f t="shared" si="38"/>
        <v>0</v>
      </c>
      <c r="AG45" s="144">
        <f t="shared" si="38"/>
        <v>0</v>
      </c>
      <c r="AH45" s="231">
        <v>1131</v>
      </c>
      <c r="AI45" s="219">
        <v>1111</v>
      </c>
      <c r="AJ45" s="219">
        <v>1127</v>
      </c>
      <c r="AK45" s="219">
        <v>1110</v>
      </c>
      <c r="AL45" s="219">
        <v>1126</v>
      </c>
      <c r="AM45" s="219">
        <v>1095</v>
      </c>
      <c r="AN45" s="219">
        <v>1117</v>
      </c>
      <c r="AO45" s="219"/>
      <c r="AP45" s="219"/>
      <c r="AQ45" s="219"/>
      <c r="AR45" s="219"/>
      <c r="AS45" s="226"/>
      <c r="AT45" s="138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1"/>
      <c r="BR45" s="199"/>
      <c r="BS45" s="132"/>
      <c r="BT45" s="165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71"/>
      <c r="CF45" s="174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50"/>
      <c r="CR45" s="153"/>
      <c r="CS45" s="138"/>
      <c r="CT45" s="141"/>
      <c r="CU45" s="141"/>
      <c r="CV45" s="141"/>
      <c r="CW45" s="141"/>
      <c r="CX45" s="141"/>
      <c r="CY45" s="141"/>
      <c r="CZ45" s="141"/>
      <c r="DA45" s="141"/>
      <c r="DB45" s="141"/>
      <c r="DC45" s="141"/>
      <c r="DD45" s="144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9"/>
      <c r="DQ45" s="132"/>
      <c r="DS45" s="114"/>
      <c r="DT45" s="117"/>
    </row>
    <row r="46" spans="1:124" ht="20.25" customHeight="1">
      <c r="A46" s="128"/>
      <c r="B46" s="128"/>
      <c r="C46" s="258"/>
      <c r="D46" s="261"/>
      <c r="E46" s="243"/>
      <c r="F46" s="2" t="s">
        <v>65</v>
      </c>
      <c r="G46" s="3" t="s">
        <v>74</v>
      </c>
      <c r="H46" s="67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9"/>
      <c r="T46" s="186"/>
      <c r="U46" s="322"/>
      <c r="V46" s="138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4"/>
      <c r="AH46" s="23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4"/>
      <c r="AT46" s="138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1"/>
      <c r="BR46" s="199"/>
      <c r="BS46" s="132"/>
      <c r="BT46" s="165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71"/>
      <c r="CF46" s="174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50"/>
      <c r="CR46" s="153"/>
      <c r="CS46" s="138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4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6"/>
      <c r="DP46" s="109"/>
      <c r="DQ46" s="132"/>
      <c r="DS46" s="114"/>
      <c r="DT46" s="117"/>
    </row>
    <row r="47" spans="1:124" ht="20.25" customHeight="1" thickBot="1">
      <c r="A47" s="128"/>
      <c r="B47" s="128"/>
      <c r="C47" s="259"/>
      <c r="D47" s="262"/>
      <c r="E47" s="244"/>
      <c r="F47" s="86" t="s">
        <v>66</v>
      </c>
      <c r="G47" s="87" t="s">
        <v>75</v>
      </c>
      <c r="H47" s="70">
        <v>39.18</v>
      </c>
      <c r="I47" s="68">
        <v>39.18</v>
      </c>
      <c r="J47" s="68">
        <v>25.01</v>
      </c>
      <c r="K47" s="68">
        <v>33.79</v>
      </c>
      <c r="L47" s="68">
        <v>38.950000000000003</v>
      </c>
      <c r="M47" s="68">
        <v>46.11</v>
      </c>
      <c r="N47" s="71">
        <v>45.74</v>
      </c>
      <c r="O47" s="71"/>
      <c r="P47" s="71"/>
      <c r="Q47" s="71"/>
      <c r="R47" s="71"/>
      <c r="S47" s="72"/>
      <c r="T47" s="186"/>
      <c r="U47" s="322"/>
      <c r="V47" s="139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5"/>
      <c r="AH47" s="233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30"/>
      <c r="AT47" s="139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7"/>
      <c r="BR47" s="200"/>
      <c r="BS47" s="133"/>
      <c r="BT47" s="165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71"/>
      <c r="CF47" s="174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50"/>
      <c r="CR47" s="153"/>
      <c r="CS47" s="138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4"/>
      <c r="DE47" s="106"/>
      <c r="DF47" s="106"/>
      <c r="DG47" s="106"/>
      <c r="DH47" s="106"/>
      <c r="DI47" s="106"/>
      <c r="DJ47" s="106"/>
      <c r="DK47" s="106"/>
      <c r="DL47" s="106"/>
      <c r="DM47" s="106"/>
      <c r="DN47" s="106"/>
      <c r="DO47" s="106"/>
      <c r="DP47" s="109"/>
      <c r="DQ47" s="132"/>
      <c r="DS47" s="114"/>
      <c r="DT47" s="117"/>
    </row>
    <row r="48" spans="1:124" ht="20.25" customHeight="1">
      <c r="A48" s="128"/>
      <c r="B48" s="128"/>
      <c r="C48" s="182" t="s">
        <v>18</v>
      </c>
      <c r="D48" s="271" t="s">
        <v>19</v>
      </c>
      <c r="E48" s="16" t="s">
        <v>4</v>
      </c>
      <c r="F48" s="78" t="s">
        <v>94</v>
      </c>
      <c r="G48" s="79" t="s">
        <v>97</v>
      </c>
      <c r="H48" s="64">
        <v>13.56</v>
      </c>
      <c r="I48" s="65">
        <v>13.56</v>
      </c>
      <c r="J48" s="65">
        <v>15.12</v>
      </c>
      <c r="K48" s="65">
        <v>14.43</v>
      </c>
      <c r="L48" s="65">
        <v>40.200000000000003</v>
      </c>
      <c r="M48" s="65">
        <v>29.34</v>
      </c>
      <c r="N48" s="65">
        <v>29.08</v>
      </c>
      <c r="O48" s="65"/>
      <c r="P48" s="65"/>
      <c r="Q48" s="65"/>
      <c r="R48" s="65"/>
      <c r="S48" s="66"/>
      <c r="T48" s="186"/>
      <c r="U48" s="322"/>
      <c r="V48" s="24">
        <f t="shared" ref="V48:V53" si="39">IFERROR((SUM(H48:H48)/COUNTIF(H48:H48,"&gt;0")),0)</f>
        <v>13.56</v>
      </c>
      <c r="W48" s="25">
        <f t="shared" ref="W48:AG53" si="40">IFERROR((SUM(I48:I48)/COUNTIF(I48:I48,"&gt;0")),0)</f>
        <v>13.56</v>
      </c>
      <c r="X48" s="25">
        <f t="shared" si="40"/>
        <v>15.12</v>
      </c>
      <c r="Y48" s="25">
        <f t="shared" si="40"/>
        <v>14.43</v>
      </c>
      <c r="Z48" s="25">
        <f t="shared" si="40"/>
        <v>40.200000000000003</v>
      </c>
      <c r="AA48" s="25">
        <f t="shared" si="40"/>
        <v>29.34</v>
      </c>
      <c r="AB48" s="25">
        <f t="shared" si="40"/>
        <v>29.08</v>
      </c>
      <c r="AC48" s="25">
        <f t="shared" si="40"/>
        <v>0</v>
      </c>
      <c r="AD48" s="25">
        <f t="shared" si="40"/>
        <v>0</v>
      </c>
      <c r="AE48" s="25">
        <f t="shared" si="40"/>
        <v>0</v>
      </c>
      <c r="AF48" s="25">
        <f t="shared" si="40"/>
        <v>0</v>
      </c>
      <c r="AG48" s="26">
        <f t="shared" si="40"/>
        <v>0</v>
      </c>
      <c r="AH48" s="60">
        <v>92</v>
      </c>
      <c r="AI48" s="27">
        <v>91</v>
      </c>
      <c r="AJ48" s="27">
        <v>91</v>
      </c>
      <c r="AK48" s="27">
        <v>90</v>
      </c>
      <c r="AL48" s="27">
        <v>92</v>
      </c>
      <c r="AM48" s="27">
        <v>91</v>
      </c>
      <c r="AN48" s="27">
        <v>92</v>
      </c>
      <c r="AO48" s="27"/>
      <c r="AP48" s="27"/>
      <c r="AQ48" s="27"/>
      <c r="AR48" s="27"/>
      <c r="AS48" s="38"/>
      <c r="AT48" s="137">
        <f>IFERROR((((V48*AH48)+(V49*AH49)+(V50*AH50))/SUM(AH48:AH50)),0)</f>
        <v>18.26923076923077</v>
      </c>
      <c r="AU48" s="140">
        <f>IFERROR((((W48*AI48)+(W49*AI49)+(W50*AI50))/SUM(AI48:AI50)),0)</f>
        <v>18.241406249999997</v>
      </c>
      <c r="AV48" s="140">
        <f t="shared" ref="AV48:BA48" si="41">IFERROR((((X48*AJ48)+(X49*AJ49)+(X50*AJ50))/SUM(AJ48:AJ50)),0)</f>
        <v>19.971875000000001</v>
      </c>
      <c r="AW48" s="140">
        <f t="shared" si="41"/>
        <v>23.190629921259841</v>
      </c>
      <c r="AX48" s="140">
        <f t="shared" si="41"/>
        <v>42.283846153846156</v>
      </c>
      <c r="AY48" s="140">
        <f t="shared" si="41"/>
        <v>33.094921874999997</v>
      </c>
      <c r="AZ48" s="140">
        <f t="shared" si="41"/>
        <v>33.293798449612403</v>
      </c>
      <c r="BA48" s="140">
        <f t="shared" si="41"/>
        <v>0</v>
      </c>
      <c r="BB48" s="140">
        <f t="shared" ref="BB48:BE48" si="42">IFERROR((((AD48*AP48)+(AD49*AP49)+(AD50*AP50))/SUM(AP48:AP50)),0)</f>
        <v>0</v>
      </c>
      <c r="BC48" s="140">
        <f t="shared" si="42"/>
        <v>0</v>
      </c>
      <c r="BD48" s="140">
        <f t="shared" si="42"/>
        <v>0</v>
      </c>
      <c r="BE48" s="143">
        <f t="shared" si="42"/>
        <v>0</v>
      </c>
      <c r="BF48" s="264">
        <f>SUM(AH48:AH50)</f>
        <v>130</v>
      </c>
      <c r="BG48" s="264">
        <f t="shared" ref="BG48:BQ48" si="43">SUM(AI48:AI50)</f>
        <v>128</v>
      </c>
      <c r="BH48" s="264">
        <f t="shared" si="43"/>
        <v>128</v>
      </c>
      <c r="BI48" s="264">
        <f t="shared" si="43"/>
        <v>127</v>
      </c>
      <c r="BJ48" s="264">
        <f t="shared" si="43"/>
        <v>130</v>
      </c>
      <c r="BK48" s="264">
        <f t="shared" si="43"/>
        <v>128</v>
      </c>
      <c r="BL48" s="264">
        <f t="shared" si="43"/>
        <v>129</v>
      </c>
      <c r="BM48" s="264">
        <f t="shared" si="43"/>
        <v>0</v>
      </c>
      <c r="BN48" s="264">
        <f t="shared" si="43"/>
        <v>0</v>
      </c>
      <c r="BO48" s="264">
        <f t="shared" si="43"/>
        <v>0</v>
      </c>
      <c r="BP48" s="264">
        <f t="shared" si="43"/>
        <v>0</v>
      </c>
      <c r="BQ48" s="274">
        <f t="shared" si="43"/>
        <v>0</v>
      </c>
      <c r="BR48" s="277">
        <f>IFERROR(((AT48*BF48)+(AU48*BG48)+(AV48*BH48)+(AW48*BI48)+(AX48*BJ48)+(AY48*BK48)+(AZ48*BL48)+(BA48*BM48)+(BB48*BN48)+(BC48*BO48)+(BD48*BP48)+(BE48*BQ48))/SUM(BF48:BQ50),0)</f>
        <v>26.932733333333331</v>
      </c>
      <c r="BS48" s="131">
        <f>IFERROR(((BR48*(SUM(BF48:BQ50)))+(BR51*(SUM(BF51:BQ53))))/(SUM(BF48:BQ53)),0)</f>
        <v>22.538641003207932</v>
      </c>
      <c r="BT48" s="165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71"/>
      <c r="CF48" s="174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50"/>
      <c r="CR48" s="153"/>
      <c r="CS48" s="138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4"/>
      <c r="DE48" s="106"/>
      <c r="DF48" s="106"/>
      <c r="DG48" s="106"/>
      <c r="DH48" s="106"/>
      <c r="DI48" s="106"/>
      <c r="DJ48" s="106"/>
      <c r="DK48" s="106"/>
      <c r="DL48" s="106"/>
      <c r="DM48" s="106"/>
      <c r="DN48" s="106"/>
      <c r="DO48" s="106"/>
      <c r="DP48" s="109"/>
      <c r="DQ48" s="132"/>
      <c r="DS48" s="114"/>
      <c r="DT48" s="117"/>
    </row>
    <row r="49" spans="1:124" ht="20.25" customHeight="1">
      <c r="A49" s="128"/>
      <c r="B49" s="128"/>
      <c r="C49" s="183"/>
      <c r="D49" s="272"/>
      <c r="E49" s="18" t="s">
        <v>5</v>
      </c>
      <c r="F49" s="76" t="s">
        <v>95</v>
      </c>
      <c r="G49" s="77" t="s">
        <v>98</v>
      </c>
      <c r="H49" s="67">
        <v>26.54</v>
      </c>
      <c r="I49" s="68">
        <v>26.54</v>
      </c>
      <c r="J49" s="68">
        <v>28</v>
      </c>
      <c r="K49" s="68">
        <v>44.27</v>
      </c>
      <c r="L49" s="68">
        <v>47.17</v>
      </c>
      <c r="M49" s="68">
        <v>41.73</v>
      </c>
      <c r="N49" s="68">
        <v>43.54</v>
      </c>
      <c r="O49" s="68"/>
      <c r="P49" s="68"/>
      <c r="Q49" s="68"/>
      <c r="R49" s="68"/>
      <c r="S49" s="69"/>
      <c r="T49" s="186"/>
      <c r="U49" s="322"/>
      <c r="V49" s="28">
        <f t="shared" si="39"/>
        <v>26.54</v>
      </c>
      <c r="W49" s="29">
        <f t="shared" si="40"/>
        <v>26.54</v>
      </c>
      <c r="X49" s="29">
        <f t="shared" si="40"/>
        <v>28</v>
      </c>
      <c r="Y49" s="29">
        <f t="shared" si="40"/>
        <v>44.27</v>
      </c>
      <c r="Z49" s="29">
        <f t="shared" si="40"/>
        <v>47.17</v>
      </c>
      <c r="AA49" s="29">
        <f t="shared" si="40"/>
        <v>41.73</v>
      </c>
      <c r="AB49" s="29">
        <f t="shared" si="40"/>
        <v>43.54</v>
      </c>
      <c r="AC49" s="29">
        <f t="shared" si="40"/>
        <v>0</v>
      </c>
      <c r="AD49" s="29">
        <f t="shared" si="40"/>
        <v>0</v>
      </c>
      <c r="AE49" s="29">
        <f t="shared" si="40"/>
        <v>0</v>
      </c>
      <c r="AF49" s="29">
        <f t="shared" si="40"/>
        <v>0</v>
      </c>
      <c r="AG49" s="30">
        <f t="shared" si="40"/>
        <v>0</v>
      </c>
      <c r="AH49" s="61">
        <v>34</v>
      </c>
      <c r="AI49" s="31">
        <v>33</v>
      </c>
      <c r="AJ49" s="31">
        <v>33</v>
      </c>
      <c r="AK49" s="31">
        <v>33</v>
      </c>
      <c r="AL49" s="31">
        <v>34</v>
      </c>
      <c r="AM49" s="31">
        <v>33</v>
      </c>
      <c r="AN49" s="31">
        <v>33</v>
      </c>
      <c r="AO49" s="31"/>
      <c r="AP49" s="31"/>
      <c r="AQ49" s="31"/>
      <c r="AR49" s="31"/>
      <c r="AS49" s="37"/>
      <c r="AT49" s="138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75"/>
      <c r="BR49" s="278"/>
      <c r="BS49" s="132"/>
      <c r="BT49" s="165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71"/>
      <c r="CF49" s="174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50"/>
      <c r="CR49" s="153"/>
      <c r="CS49" s="138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4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9"/>
      <c r="DQ49" s="132"/>
      <c r="DS49" s="114"/>
      <c r="DT49" s="117"/>
    </row>
    <row r="50" spans="1:124" ht="20.25" customHeight="1">
      <c r="A50" s="128"/>
      <c r="B50" s="128"/>
      <c r="C50" s="183"/>
      <c r="D50" s="250"/>
      <c r="E50" s="21" t="s">
        <v>6</v>
      </c>
      <c r="F50" s="88" t="s">
        <v>96</v>
      </c>
      <c r="G50" s="89" t="s">
        <v>99</v>
      </c>
      <c r="H50" s="67">
        <v>56.28</v>
      </c>
      <c r="I50" s="68">
        <v>56.28</v>
      </c>
      <c r="J50" s="68">
        <v>64.12</v>
      </c>
      <c r="K50" s="68">
        <v>46.4</v>
      </c>
      <c r="L50" s="68">
        <v>48.68</v>
      </c>
      <c r="M50" s="68">
        <v>47.28</v>
      </c>
      <c r="N50" s="68">
        <v>45.68</v>
      </c>
      <c r="O50" s="68"/>
      <c r="P50" s="68"/>
      <c r="Q50" s="68"/>
      <c r="R50" s="68"/>
      <c r="S50" s="69"/>
      <c r="T50" s="186"/>
      <c r="U50" s="322"/>
      <c r="V50" s="28">
        <f t="shared" si="39"/>
        <v>56.28</v>
      </c>
      <c r="W50" s="29">
        <f t="shared" si="40"/>
        <v>56.28</v>
      </c>
      <c r="X50" s="29">
        <f t="shared" si="40"/>
        <v>64.12</v>
      </c>
      <c r="Y50" s="29">
        <f t="shared" si="40"/>
        <v>46.4</v>
      </c>
      <c r="Z50" s="29">
        <f t="shared" si="40"/>
        <v>48.68</v>
      </c>
      <c r="AA50" s="29">
        <f t="shared" si="40"/>
        <v>47.28</v>
      </c>
      <c r="AB50" s="29">
        <f t="shared" si="40"/>
        <v>45.68</v>
      </c>
      <c r="AC50" s="29">
        <f t="shared" si="40"/>
        <v>0</v>
      </c>
      <c r="AD50" s="29">
        <f t="shared" si="40"/>
        <v>0</v>
      </c>
      <c r="AE50" s="29">
        <f t="shared" si="40"/>
        <v>0</v>
      </c>
      <c r="AF50" s="29">
        <f t="shared" si="40"/>
        <v>0</v>
      </c>
      <c r="AG50" s="30">
        <f t="shared" si="40"/>
        <v>0</v>
      </c>
      <c r="AH50" s="62">
        <v>4</v>
      </c>
      <c r="AI50" s="35">
        <v>4</v>
      </c>
      <c r="AJ50" s="35">
        <v>4</v>
      </c>
      <c r="AK50" s="35">
        <v>4</v>
      </c>
      <c r="AL50" s="35">
        <v>4</v>
      </c>
      <c r="AM50" s="35">
        <v>4</v>
      </c>
      <c r="AN50" s="35">
        <v>4</v>
      </c>
      <c r="AO50" s="35"/>
      <c r="AP50" s="35"/>
      <c r="AQ50" s="35"/>
      <c r="AR50" s="35"/>
      <c r="AS50" s="36"/>
      <c r="AT50" s="138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4"/>
      <c r="BF50" s="193"/>
      <c r="BG50" s="193"/>
      <c r="BH50" s="193"/>
      <c r="BI50" s="193"/>
      <c r="BJ50" s="193"/>
      <c r="BK50" s="193"/>
      <c r="BL50" s="193"/>
      <c r="BM50" s="193"/>
      <c r="BN50" s="193"/>
      <c r="BO50" s="193"/>
      <c r="BP50" s="193"/>
      <c r="BQ50" s="276"/>
      <c r="BR50" s="279"/>
      <c r="BS50" s="132"/>
      <c r="BT50" s="165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71"/>
      <c r="CF50" s="174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50"/>
      <c r="CR50" s="153"/>
      <c r="CS50" s="138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4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9"/>
      <c r="DQ50" s="132"/>
      <c r="DS50" s="114"/>
      <c r="DT50" s="117"/>
    </row>
    <row r="51" spans="1:124" ht="20.25" customHeight="1">
      <c r="A51" s="128"/>
      <c r="B51" s="128"/>
      <c r="C51" s="183"/>
      <c r="D51" s="287" t="s">
        <v>15</v>
      </c>
      <c r="E51" s="17" t="s">
        <v>4</v>
      </c>
      <c r="F51" s="76" t="s">
        <v>91</v>
      </c>
      <c r="G51" s="77" t="s">
        <v>88</v>
      </c>
      <c r="H51" s="67">
        <v>11.47</v>
      </c>
      <c r="I51" s="68">
        <v>11.47</v>
      </c>
      <c r="J51" s="68">
        <v>12.37</v>
      </c>
      <c r="K51" s="68">
        <v>13.53</v>
      </c>
      <c r="L51" s="68">
        <v>13.81</v>
      </c>
      <c r="M51" s="68">
        <v>13.65</v>
      </c>
      <c r="N51" s="68">
        <v>13.17</v>
      </c>
      <c r="O51" s="68"/>
      <c r="P51" s="68"/>
      <c r="Q51" s="68"/>
      <c r="R51" s="68"/>
      <c r="S51" s="69"/>
      <c r="T51" s="186"/>
      <c r="U51" s="322"/>
      <c r="V51" s="28">
        <f t="shared" si="39"/>
        <v>11.47</v>
      </c>
      <c r="W51" s="29">
        <f t="shared" si="40"/>
        <v>11.47</v>
      </c>
      <c r="X51" s="29">
        <f t="shared" si="40"/>
        <v>12.37</v>
      </c>
      <c r="Y51" s="29">
        <f t="shared" si="40"/>
        <v>13.53</v>
      </c>
      <c r="Z51" s="29">
        <f t="shared" si="40"/>
        <v>13.81</v>
      </c>
      <c r="AA51" s="29">
        <f t="shared" si="40"/>
        <v>13.65</v>
      </c>
      <c r="AB51" s="29">
        <f t="shared" si="40"/>
        <v>13.17</v>
      </c>
      <c r="AC51" s="29">
        <f t="shared" si="40"/>
        <v>0</v>
      </c>
      <c r="AD51" s="29">
        <f t="shared" si="40"/>
        <v>0</v>
      </c>
      <c r="AE51" s="29">
        <f t="shared" si="40"/>
        <v>0</v>
      </c>
      <c r="AF51" s="29">
        <f t="shared" si="40"/>
        <v>0</v>
      </c>
      <c r="AG51" s="30">
        <f t="shared" si="40"/>
        <v>0</v>
      </c>
      <c r="AH51" s="61">
        <v>80</v>
      </c>
      <c r="AI51" s="31">
        <v>78</v>
      </c>
      <c r="AJ51" s="31">
        <v>80</v>
      </c>
      <c r="AK51" s="31">
        <v>80</v>
      </c>
      <c r="AL51" s="31">
        <v>81</v>
      </c>
      <c r="AM51" s="31">
        <v>79</v>
      </c>
      <c r="AN51" s="31">
        <v>80</v>
      </c>
      <c r="AO51" s="31"/>
      <c r="AP51" s="31"/>
      <c r="AQ51" s="31"/>
      <c r="AR51" s="31"/>
      <c r="AS51" s="37"/>
      <c r="AT51" s="138">
        <f>IFERROR((((V51*AH51)+(V52*AH52)+(V53*AH53))/SUM(AH51:AH53)),0)</f>
        <v>19.939258241758242</v>
      </c>
      <c r="AU51" s="141">
        <f t="shared" ref="AU51:BE51" si="44">IFERROR((((W51*AI51)+(W52*AI52)+(W53*AI53))/SUM(AI51:AI53)),0)</f>
        <v>19.931440677966101</v>
      </c>
      <c r="AV51" s="141">
        <f t="shared" si="44"/>
        <v>20.676519337016572</v>
      </c>
      <c r="AW51" s="141">
        <f t="shared" si="44"/>
        <v>21.723140495867767</v>
      </c>
      <c r="AX51" s="141">
        <f t="shared" si="44"/>
        <v>20.953770491803279</v>
      </c>
      <c r="AY51" s="141">
        <f t="shared" si="44"/>
        <v>22.022374301675978</v>
      </c>
      <c r="AZ51" s="141">
        <f t="shared" si="44"/>
        <v>21.570248618784529</v>
      </c>
      <c r="BA51" s="141">
        <f t="shared" si="44"/>
        <v>0</v>
      </c>
      <c r="BB51" s="141">
        <f t="shared" si="44"/>
        <v>0</v>
      </c>
      <c r="BC51" s="141">
        <f t="shared" si="44"/>
        <v>0</v>
      </c>
      <c r="BD51" s="141">
        <f t="shared" si="44"/>
        <v>0</v>
      </c>
      <c r="BE51" s="144">
        <f t="shared" si="44"/>
        <v>0</v>
      </c>
      <c r="BF51" s="214">
        <f>SUM(AH51:AH53)</f>
        <v>364</v>
      </c>
      <c r="BG51" s="204">
        <f t="shared" ref="BG51:BQ51" si="45">SUM(AI51:AI53)</f>
        <v>354</v>
      </c>
      <c r="BH51" s="204">
        <f t="shared" si="45"/>
        <v>362</v>
      </c>
      <c r="BI51" s="204">
        <f t="shared" si="45"/>
        <v>363</v>
      </c>
      <c r="BJ51" s="204">
        <f t="shared" si="45"/>
        <v>366</v>
      </c>
      <c r="BK51" s="204">
        <f t="shared" si="45"/>
        <v>358</v>
      </c>
      <c r="BL51" s="204">
        <f t="shared" si="45"/>
        <v>362</v>
      </c>
      <c r="BM51" s="204">
        <f t="shared" si="45"/>
        <v>0</v>
      </c>
      <c r="BN51" s="204">
        <f t="shared" si="45"/>
        <v>0</v>
      </c>
      <c r="BO51" s="204">
        <f t="shared" si="45"/>
        <v>0</v>
      </c>
      <c r="BP51" s="204">
        <f t="shared" si="45"/>
        <v>0</v>
      </c>
      <c r="BQ51" s="281">
        <f t="shared" si="45"/>
        <v>0</v>
      </c>
      <c r="BR51" s="278">
        <f>IFERROR(((AT51*BF51)+(AU51*BG51)+(AV51*BH51)+(AW51*BI51)+(AX51*BJ51)+(AY51*BK51)+(AZ51*BL51)+(BA51*BM51)+(BB51*BN51)+(BC51*BO51)+(BD51*BP51)+(BE51*BQ51))/SUM(BF51:BQ53),0)</f>
        <v>20.9749070778964</v>
      </c>
      <c r="BS51" s="132"/>
      <c r="BT51" s="165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71"/>
      <c r="CF51" s="174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50"/>
      <c r="CR51" s="153"/>
      <c r="CS51" s="138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4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9"/>
      <c r="DQ51" s="132"/>
      <c r="DS51" s="114"/>
      <c r="DT51" s="117"/>
    </row>
    <row r="52" spans="1:124" ht="20.25" customHeight="1">
      <c r="A52" s="128"/>
      <c r="B52" s="128"/>
      <c r="C52" s="183"/>
      <c r="D52" s="287"/>
      <c r="E52" s="18" t="s">
        <v>5</v>
      </c>
      <c r="F52" s="84" t="s">
        <v>92</v>
      </c>
      <c r="G52" s="85" t="s">
        <v>89</v>
      </c>
      <c r="H52" s="67">
        <v>19.649999999999999</v>
      </c>
      <c r="I52" s="68">
        <v>19.649999999999999</v>
      </c>
      <c r="J52" s="68">
        <v>19.95</v>
      </c>
      <c r="K52" s="68">
        <v>21.15</v>
      </c>
      <c r="L52" s="68">
        <v>21.04</v>
      </c>
      <c r="M52" s="68">
        <v>22.18</v>
      </c>
      <c r="N52" s="68">
        <v>21.92</v>
      </c>
      <c r="O52" s="68"/>
      <c r="P52" s="68"/>
      <c r="Q52" s="68"/>
      <c r="R52" s="68"/>
      <c r="S52" s="69"/>
      <c r="T52" s="186"/>
      <c r="U52" s="322"/>
      <c r="V52" s="28">
        <f t="shared" si="39"/>
        <v>19.649999999999999</v>
      </c>
      <c r="W52" s="29">
        <f t="shared" si="40"/>
        <v>19.649999999999999</v>
      </c>
      <c r="X52" s="29">
        <f t="shared" si="40"/>
        <v>19.95</v>
      </c>
      <c r="Y52" s="29">
        <f t="shared" si="40"/>
        <v>21.15</v>
      </c>
      <c r="Z52" s="29">
        <f t="shared" si="40"/>
        <v>21.04</v>
      </c>
      <c r="AA52" s="29">
        <f t="shared" si="40"/>
        <v>22.18</v>
      </c>
      <c r="AB52" s="29">
        <f t="shared" si="40"/>
        <v>21.92</v>
      </c>
      <c r="AC52" s="29">
        <f t="shared" si="40"/>
        <v>0</v>
      </c>
      <c r="AD52" s="29">
        <f t="shared" si="40"/>
        <v>0</v>
      </c>
      <c r="AE52" s="29">
        <f t="shared" si="40"/>
        <v>0</v>
      </c>
      <c r="AF52" s="29">
        <f t="shared" si="40"/>
        <v>0</v>
      </c>
      <c r="AG52" s="30">
        <f t="shared" si="40"/>
        <v>0</v>
      </c>
      <c r="AH52" s="61">
        <v>215</v>
      </c>
      <c r="AI52" s="31">
        <v>209</v>
      </c>
      <c r="AJ52" s="31">
        <v>213</v>
      </c>
      <c r="AK52" s="31">
        <v>214</v>
      </c>
      <c r="AL52" s="31">
        <v>216</v>
      </c>
      <c r="AM52" s="31">
        <v>211</v>
      </c>
      <c r="AN52" s="31">
        <v>213</v>
      </c>
      <c r="AO52" s="31"/>
      <c r="AP52" s="31"/>
      <c r="AQ52" s="31"/>
      <c r="AR52" s="31"/>
      <c r="AS52" s="37"/>
      <c r="AT52" s="138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4"/>
      <c r="BF52" s="214"/>
      <c r="BG52" s="204"/>
      <c r="BH52" s="204"/>
      <c r="BI52" s="204"/>
      <c r="BJ52" s="204"/>
      <c r="BK52" s="204"/>
      <c r="BL52" s="204"/>
      <c r="BM52" s="204"/>
      <c r="BN52" s="204"/>
      <c r="BO52" s="204"/>
      <c r="BP52" s="204"/>
      <c r="BQ52" s="281"/>
      <c r="BR52" s="278"/>
      <c r="BS52" s="132"/>
      <c r="BT52" s="165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71"/>
      <c r="CF52" s="174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50"/>
      <c r="CR52" s="153"/>
      <c r="CS52" s="138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4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6"/>
      <c r="DP52" s="109"/>
      <c r="DQ52" s="132"/>
      <c r="DS52" s="114"/>
      <c r="DT52" s="117"/>
    </row>
    <row r="53" spans="1:124" ht="20.25" customHeight="1" thickBot="1">
      <c r="A53" s="128"/>
      <c r="B53" s="129"/>
      <c r="C53" s="184"/>
      <c r="D53" s="288"/>
      <c r="E53" s="20" t="s">
        <v>6</v>
      </c>
      <c r="F53" s="80" t="s">
        <v>93</v>
      </c>
      <c r="G53" s="81" t="s">
        <v>90</v>
      </c>
      <c r="H53" s="70">
        <v>30.66</v>
      </c>
      <c r="I53" s="71">
        <v>30.66</v>
      </c>
      <c r="J53" s="71">
        <v>32.549999999999997</v>
      </c>
      <c r="K53" s="71">
        <v>33</v>
      </c>
      <c r="L53" s="71">
        <v>29.07</v>
      </c>
      <c r="M53" s="71">
        <v>31.26</v>
      </c>
      <c r="N53" s="71">
        <v>30.23</v>
      </c>
      <c r="O53" s="71"/>
      <c r="P53" s="71"/>
      <c r="Q53" s="71"/>
      <c r="R53" s="71"/>
      <c r="S53" s="72"/>
      <c r="T53" s="186"/>
      <c r="U53" s="322"/>
      <c r="V53" s="32">
        <f t="shared" si="39"/>
        <v>30.66</v>
      </c>
      <c r="W53" s="33">
        <f t="shared" si="40"/>
        <v>30.66</v>
      </c>
      <c r="X53" s="33">
        <f t="shared" si="40"/>
        <v>32.549999999999997</v>
      </c>
      <c r="Y53" s="33">
        <f t="shared" si="40"/>
        <v>33</v>
      </c>
      <c r="Z53" s="33">
        <f t="shared" si="40"/>
        <v>29.07</v>
      </c>
      <c r="AA53" s="33">
        <f t="shared" si="40"/>
        <v>31.26</v>
      </c>
      <c r="AB53" s="33">
        <f t="shared" si="40"/>
        <v>30.23</v>
      </c>
      <c r="AC53" s="33">
        <f t="shared" si="40"/>
        <v>0</v>
      </c>
      <c r="AD53" s="33">
        <f t="shared" si="40"/>
        <v>0</v>
      </c>
      <c r="AE53" s="33">
        <f t="shared" si="40"/>
        <v>0</v>
      </c>
      <c r="AF53" s="33">
        <f t="shared" si="40"/>
        <v>0</v>
      </c>
      <c r="AG53" s="34">
        <f t="shared" si="40"/>
        <v>0</v>
      </c>
      <c r="AH53" s="63">
        <v>69</v>
      </c>
      <c r="AI53" s="39">
        <v>67</v>
      </c>
      <c r="AJ53" s="39">
        <v>69</v>
      </c>
      <c r="AK53" s="39">
        <v>69</v>
      </c>
      <c r="AL53" s="39">
        <v>69</v>
      </c>
      <c r="AM53" s="39">
        <v>68</v>
      </c>
      <c r="AN53" s="39">
        <v>69</v>
      </c>
      <c r="AO53" s="39"/>
      <c r="AP53" s="39"/>
      <c r="AQ53" s="39"/>
      <c r="AR53" s="39"/>
      <c r="AS53" s="40"/>
      <c r="AT53" s="139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5"/>
      <c r="BF53" s="265"/>
      <c r="BG53" s="205"/>
      <c r="BH53" s="205"/>
      <c r="BI53" s="205"/>
      <c r="BJ53" s="205"/>
      <c r="BK53" s="205"/>
      <c r="BL53" s="205"/>
      <c r="BM53" s="205"/>
      <c r="BN53" s="205"/>
      <c r="BO53" s="205"/>
      <c r="BP53" s="205"/>
      <c r="BQ53" s="282"/>
      <c r="BR53" s="280"/>
      <c r="BS53" s="133"/>
      <c r="BT53" s="166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72"/>
      <c r="CF53" s="175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51"/>
      <c r="CR53" s="154"/>
      <c r="CS53" s="138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4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6"/>
      <c r="DP53" s="109"/>
      <c r="DQ53" s="132"/>
      <c r="DS53" s="114"/>
      <c r="DT53" s="117"/>
    </row>
    <row r="54" spans="1:124" ht="20.25" customHeight="1">
      <c r="A54" s="128"/>
      <c r="B54" s="253" t="s">
        <v>26</v>
      </c>
      <c r="C54" s="183" t="s">
        <v>22</v>
      </c>
      <c r="D54" s="246" t="s">
        <v>123</v>
      </c>
      <c r="E54" s="237" t="s">
        <v>4</v>
      </c>
      <c r="F54" s="6" t="s">
        <v>139</v>
      </c>
      <c r="G54" s="7" t="s">
        <v>147</v>
      </c>
      <c r="H54" s="64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6"/>
      <c r="T54" s="186"/>
      <c r="U54" s="322"/>
      <c r="V54" s="137">
        <f>IFERROR((SUM(H54:H56)/COUNTIF(H54:H56,"&gt;0")),0)</f>
        <v>10.47</v>
      </c>
      <c r="W54" s="140">
        <f t="shared" ref="W54:AG54" si="46">IFERROR((SUM(I54:I56)/COUNTIF(I54:I56,"&gt;0")),0)</f>
        <v>10.47</v>
      </c>
      <c r="X54" s="140">
        <f t="shared" si="46"/>
        <v>11.58</v>
      </c>
      <c r="Y54" s="140">
        <f t="shared" si="46"/>
        <v>14.65</v>
      </c>
      <c r="Z54" s="140">
        <f t="shared" si="46"/>
        <v>20.05</v>
      </c>
      <c r="AA54" s="140">
        <f t="shared" si="46"/>
        <v>22.08</v>
      </c>
      <c r="AB54" s="140">
        <f t="shared" si="46"/>
        <v>19.25</v>
      </c>
      <c r="AC54" s="140">
        <f t="shared" si="46"/>
        <v>0</v>
      </c>
      <c r="AD54" s="140">
        <f t="shared" si="46"/>
        <v>0</v>
      </c>
      <c r="AE54" s="140">
        <f t="shared" si="46"/>
        <v>0</v>
      </c>
      <c r="AF54" s="140">
        <f t="shared" si="46"/>
        <v>0</v>
      </c>
      <c r="AG54" s="143">
        <f t="shared" si="46"/>
        <v>0</v>
      </c>
      <c r="AH54" s="232">
        <v>634</v>
      </c>
      <c r="AI54" s="222">
        <v>637</v>
      </c>
      <c r="AJ54" s="222">
        <v>633</v>
      </c>
      <c r="AK54" s="222">
        <v>633</v>
      </c>
      <c r="AL54" s="222">
        <v>634</v>
      </c>
      <c r="AM54" s="222">
        <v>2176</v>
      </c>
      <c r="AN54" s="222">
        <v>2184</v>
      </c>
      <c r="AO54" s="222"/>
      <c r="AP54" s="222"/>
      <c r="AQ54" s="222"/>
      <c r="AR54" s="222"/>
      <c r="AS54" s="224"/>
      <c r="AT54" s="137">
        <f>IFERROR((((V54*AH54)+(V57*AH57)+(V60*AH60))/SUM(AH54:AH62)),0)</f>
        <v>22.672268417213711</v>
      </c>
      <c r="AU54" s="140">
        <f t="shared" ref="AU54:BE54" si="47">IFERROR((((W54*AI54)+(W57*AI57)+(W60*AI60))/SUM(AI54:AI62)),0)</f>
        <v>22.630731528895392</v>
      </c>
      <c r="AV54" s="140">
        <f t="shared" si="47"/>
        <v>21.919816244027935</v>
      </c>
      <c r="AW54" s="140">
        <f t="shared" si="47"/>
        <v>28.031395093372392</v>
      </c>
      <c r="AX54" s="140">
        <f t="shared" si="47"/>
        <v>30.682758117475373</v>
      </c>
      <c r="AY54" s="140">
        <f t="shared" si="47"/>
        <v>24.133499999999998</v>
      </c>
      <c r="AZ54" s="140">
        <f t="shared" si="47"/>
        <v>23.166385939216404</v>
      </c>
      <c r="BA54" s="140">
        <f t="shared" si="47"/>
        <v>0</v>
      </c>
      <c r="BB54" s="140">
        <f t="shared" si="47"/>
        <v>0</v>
      </c>
      <c r="BC54" s="140">
        <f t="shared" si="47"/>
        <v>0</v>
      </c>
      <c r="BD54" s="140">
        <f t="shared" si="47"/>
        <v>0</v>
      </c>
      <c r="BE54" s="143">
        <f t="shared" si="47"/>
        <v>0</v>
      </c>
      <c r="BF54" s="194">
        <f>SUM(AH54:AH62)</f>
        <v>2742</v>
      </c>
      <c r="BG54" s="194">
        <f t="shared" ref="BG54:BQ54" si="48">SUM(AI54:AI62)</f>
        <v>2734</v>
      </c>
      <c r="BH54" s="194">
        <f t="shared" si="48"/>
        <v>2721</v>
      </c>
      <c r="BI54" s="194">
        <f t="shared" si="48"/>
        <v>2731</v>
      </c>
      <c r="BJ54" s="194">
        <f t="shared" si="48"/>
        <v>2741</v>
      </c>
      <c r="BK54" s="194">
        <f t="shared" si="48"/>
        <v>2720</v>
      </c>
      <c r="BL54" s="194">
        <f t="shared" si="48"/>
        <v>2731</v>
      </c>
      <c r="BM54" s="194">
        <f t="shared" si="48"/>
        <v>0</v>
      </c>
      <c r="BN54" s="194">
        <f t="shared" si="48"/>
        <v>0</v>
      </c>
      <c r="BO54" s="194">
        <f t="shared" si="48"/>
        <v>0</v>
      </c>
      <c r="BP54" s="194">
        <f t="shared" si="48"/>
        <v>0</v>
      </c>
      <c r="BQ54" s="191">
        <f t="shared" si="48"/>
        <v>0</v>
      </c>
      <c r="BR54" s="199">
        <f>IFERROR(((AT54*BF54)+(AU54*BG54)+(AV54*BH54)+(AW54*BI54)+(AX54*BJ54)+(AY54*BK54)+(AZ54*BL54)+(BA54*BM54)+(BB54*BN54)+(BC54*BO54)+(BD54*BP54)+(BE54*BQ54))/SUM(BF54:BQ62),0)</f>
        <v>24.751532426778244</v>
      </c>
      <c r="BS54" s="152">
        <f>BR54</f>
        <v>24.751532426778244</v>
      </c>
      <c r="BT54" s="155">
        <f t="shared" ref="BT54:CE54" si="49">IFERROR((((AT54*BF54)+(AT63*BF63)+(AT75*BF75)+(AT87*BF87)+(AT93*BF93))/(SUM(BF54:BF113))),0)</f>
        <v>22.883594594594591</v>
      </c>
      <c r="BU54" s="158">
        <f t="shared" si="49"/>
        <v>22.210755804643718</v>
      </c>
      <c r="BV54" s="158">
        <f t="shared" si="49"/>
        <v>23.734747490839574</v>
      </c>
      <c r="BW54" s="158">
        <f t="shared" si="49"/>
        <v>23.593657707592552</v>
      </c>
      <c r="BX54" s="158">
        <f t="shared" si="49"/>
        <v>26.239691053533409</v>
      </c>
      <c r="BY54" s="158">
        <f t="shared" si="49"/>
        <v>25.475423005756582</v>
      </c>
      <c r="BZ54" s="158">
        <f t="shared" si="49"/>
        <v>24.831818317868901</v>
      </c>
      <c r="CA54" s="158">
        <f t="shared" si="49"/>
        <v>0</v>
      </c>
      <c r="CB54" s="158">
        <f t="shared" si="49"/>
        <v>0</v>
      </c>
      <c r="CC54" s="158">
        <f t="shared" si="49"/>
        <v>0</v>
      </c>
      <c r="CD54" s="158">
        <f t="shared" si="49"/>
        <v>0</v>
      </c>
      <c r="CE54" s="161">
        <f t="shared" si="49"/>
        <v>0</v>
      </c>
      <c r="CF54" s="119">
        <f>BF54+BF63+BF75+BF87+BF93</f>
        <v>18870</v>
      </c>
      <c r="CG54" s="119">
        <f>BG54+BG63+BG75+BG87+BG93</f>
        <v>18735</v>
      </c>
      <c r="CH54" s="119">
        <f t="shared" ref="CH54:CP54" si="50">BH54+BH63+BH75+BH87+BH93</f>
        <v>18831</v>
      </c>
      <c r="CI54" s="119">
        <f t="shared" si="50"/>
        <v>19124</v>
      </c>
      <c r="CJ54" s="119">
        <f t="shared" si="50"/>
        <v>19259</v>
      </c>
      <c r="CK54" s="119">
        <f t="shared" si="50"/>
        <v>19456</v>
      </c>
      <c r="CL54" s="119">
        <f t="shared" si="50"/>
        <v>20046</v>
      </c>
      <c r="CM54" s="119">
        <f t="shared" si="50"/>
        <v>0</v>
      </c>
      <c r="CN54" s="119">
        <f t="shared" si="50"/>
        <v>0</v>
      </c>
      <c r="CO54" s="119">
        <f t="shared" si="50"/>
        <v>0</v>
      </c>
      <c r="CP54" s="119">
        <f t="shared" si="50"/>
        <v>0</v>
      </c>
      <c r="CQ54" s="119">
        <f>BQ54+BQ63+BQ75+BQ87+BQ93</f>
        <v>0</v>
      </c>
      <c r="CR54" s="328">
        <f>IFERROR((((BT54*CF54)+(BU54*CG54)+(BV54*CH54)+(BW54*CI54)+(BX54*CJ54)+(BY54*CK54)+(BZ54*CL54)+(CA54*CM54)+(CB54*CN54)+(CC54*CO54)+(CD54*CP54)+(CE54*CQ54))/(SUM(CF54:CQ113))),0)</f>
        <v>24.157538657395342</v>
      </c>
      <c r="CS54" s="138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4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9"/>
      <c r="DQ54" s="132"/>
      <c r="DS54" s="114"/>
      <c r="DT54" s="117"/>
    </row>
    <row r="55" spans="1:124" ht="20.25" customHeight="1">
      <c r="A55" s="128"/>
      <c r="B55" s="254"/>
      <c r="C55" s="183"/>
      <c r="D55" s="246"/>
      <c r="E55" s="237"/>
      <c r="F55" s="2" t="s">
        <v>140</v>
      </c>
      <c r="G55" s="3" t="s">
        <v>148</v>
      </c>
      <c r="H55" s="67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9"/>
      <c r="T55" s="186"/>
      <c r="U55" s="322"/>
      <c r="V55" s="138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4"/>
      <c r="AH55" s="23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4"/>
      <c r="AT55" s="138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1"/>
      <c r="BR55" s="199"/>
      <c r="BS55" s="153"/>
      <c r="BT55" s="156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62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0"/>
      <c r="CR55" s="329"/>
      <c r="CS55" s="138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4"/>
      <c r="DE55" s="106"/>
      <c r="DF55" s="106"/>
      <c r="DG55" s="106"/>
      <c r="DH55" s="106"/>
      <c r="DI55" s="106"/>
      <c r="DJ55" s="106"/>
      <c r="DK55" s="106"/>
      <c r="DL55" s="106"/>
      <c r="DM55" s="106"/>
      <c r="DN55" s="106"/>
      <c r="DO55" s="106"/>
      <c r="DP55" s="109"/>
      <c r="DQ55" s="132"/>
      <c r="DS55" s="114"/>
      <c r="DT55" s="117"/>
    </row>
    <row r="56" spans="1:124" ht="20.25" customHeight="1">
      <c r="A56" s="128"/>
      <c r="B56" s="254"/>
      <c r="C56" s="183"/>
      <c r="D56" s="246"/>
      <c r="E56" s="238"/>
      <c r="F56" s="84" t="s">
        <v>273</v>
      </c>
      <c r="G56" s="85" t="s">
        <v>149</v>
      </c>
      <c r="H56" s="67">
        <v>10.47</v>
      </c>
      <c r="I56" s="68">
        <v>10.47</v>
      </c>
      <c r="J56" s="68">
        <v>11.58</v>
      </c>
      <c r="K56" s="68">
        <v>14.65</v>
      </c>
      <c r="L56" s="68">
        <v>20.05</v>
      </c>
      <c r="M56" s="68">
        <v>22.08</v>
      </c>
      <c r="N56" s="68">
        <v>19.25</v>
      </c>
      <c r="O56" s="68"/>
      <c r="P56" s="68"/>
      <c r="Q56" s="68"/>
      <c r="R56" s="68"/>
      <c r="S56" s="69"/>
      <c r="T56" s="186"/>
      <c r="U56" s="322"/>
      <c r="V56" s="138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4"/>
      <c r="AH56" s="234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5"/>
      <c r="AT56" s="138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1"/>
      <c r="BR56" s="199"/>
      <c r="BS56" s="153"/>
      <c r="BT56" s="156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62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0"/>
      <c r="CR56" s="329"/>
      <c r="CS56" s="138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4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9"/>
      <c r="DQ56" s="132"/>
      <c r="DS56" s="114"/>
      <c r="DT56" s="117"/>
    </row>
    <row r="57" spans="1:124" ht="20.25" customHeight="1">
      <c r="A57" s="128"/>
      <c r="B57" s="254"/>
      <c r="C57" s="183"/>
      <c r="D57" s="246"/>
      <c r="E57" s="239" t="s">
        <v>5</v>
      </c>
      <c r="F57" s="2" t="s">
        <v>141</v>
      </c>
      <c r="G57" s="3" t="s">
        <v>150</v>
      </c>
      <c r="H57" s="67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9"/>
      <c r="T57" s="186"/>
      <c r="U57" s="322"/>
      <c r="V57" s="138">
        <f>IFERROR((SUM(H57:H59)/COUNTIF(H57:H59,"&gt;0")),0)</f>
        <v>14.36</v>
      </c>
      <c r="W57" s="141">
        <f>IFERROR((SUM(I58:I59)/COUNTIF(I58:I59,"&gt;0")),0)</f>
        <v>14.36</v>
      </c>
      <c r="X57" s="141">
        <f>IFERROR((SUM(J58:J59)/COUNTIF(J58:J59,"&gt;0")),0)</f>
        <v>17.66</v>
      </c>
      <c r="Y57" s="141">
        <f>IFERROR((SUM(K58:K59)/COUNTIF(K58:K59,"&gt;0")),0)</f>
        <v>30.38</v>
      </c>
      <c r="Z57" s="141">
        <f>IFERROR((SUM(L58:L59)/COUNTIF(L58:L59,"&gt;0")),0)</f>
        <v>27.92</v>
      </c>
      <c r="AA57" s="141">
        <f>IFERROR((SUM(M58:M59)/COUNTIF(M58:M59,"&gt;0")),0)</f>
        <v>32.07</v>
      </c>
      <c r="AB57" s="141">
        <f t="shared" ref="AB57:AG57" si="51">IFERROR((SUM(N57:N59)/COUNTIF(N57:N59,"&gt;0")),0)</f>
        <v>37</v>
      </c>
      <c r="AC57" s="141">
        <f t="shared" si="51"/>
        <v>0</v>
      </c>
      <c r="AD57" s="141">
        <f t="shared" si="51"/>
        <v>0</v>
      </c>
      <c r="AE57" s="141">
        <f t="shared" si="51"/>
        <v>0</v>
      </c>
      <c r="AF57" s="141">
        <f t="shared" si="51"/>
        <v>0</v>
      </c>
      <c r="AG57" s="144">
        <f t="shared" si="51"/>
        <v>0</v>
      </c>
      <c r="AH57" s="231">
        <v>758</v>
      </c>
      <c r="AI57" s="219">
        <v>756</v>
      </c>
      <c r="AJ57" s="219">
        <v>757</v>
      </c>
      <c r="AK57" s="219">
        <v>761</v>
      </c>
      <c r="AL57" s="219">
        <v>762</v>
      </c>
      <c r="AM57" s="219">
        <v>408</v>
      </c>
      <c r="AN57" s="219">
        <v>410</v>
      </c>
      <c r="AO57" s="219"/>
      <c r="AP57" s="219"/>
      <c r="AQ57" s="219"/>
      <c r="AR57" s="219"/>
      <c r="AS57" s="226"/>
      <c r="AT57" s="138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1"/>
      <c r="BR57" s="199"/>
      <c r="BS57" s="153"/>
      <c r="BT57" s="156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62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0"/>
      <c r="CR57" s="329"/>
      <c r="CS57" s="138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4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9"/>
      <c r="DQ57" s="132"/>
      <c r="DS57" s="114"/>
      <c r="DT57" s="117"/>
    </row>
    <row r="58" spans="1:124" ht="20.25" customHeight="1">
      <c r="A58" s="128"/>
      <c r="B58" s="254"/>
      <c r="C58" s="183"/>
      <c r="D58" s="246"/>
      <c r="E58" s="240"/>
      <c r="F58" s="2" t="s">
        <v>142</v>
      </c>
      <c r="G58" s="3" t="s">
        <v>151</v>
      </c>
      <c r="H58" s="67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9"/>
      <c r="T58" s="186"/>
      <c r="U58" s="322"/>
      <c r="V58" s="138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4"/>
      <c r="AH58" s="23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4"/>
      <c r="AT58" s="138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1"/>
      <c r="BR58" s="199"/>
      <c r="BS58" s="153"/>
      <c r="BT58" s="156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62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329"/>
      <c r="CS58" s="138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4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9"/>
      <c r="DQ58" s="132"/>
      <c r="DS58" s="114"/>
      <c r="DT58" s="117"/>
    </row>
    <row r="59" spans="1:124" ht="20.25" customHeight="1">
      <c r="A59" s="128"/>
      <c r="B59" s="254"/>
      <c r="C59" s="183"/>
      <c r="D59" s="246"/>
      <c r="E59" s="241"/>
      <c r="F59" s="84" t="s">
        <v>143</v>
      </c>
      <c r="G59" s="85" t="s">
        <v>152</v>
      </c>
      <c r="H59" s="67">
        <v>14.36</v>
      </c>
      <c r="I59" s="68">
        <v>14.36</v>
      </c>
      <c r="J59" s="68">
        <v>17.66</v>
      </c>
      <c r="K59" s="68">
        <v>30.38</v>
      </c>
      <c r="L59" s="68">
        <v>27.92</v>
      </c>
      <c r="M59" s="68">
        <v>32.07</v>
      </c>
      <c r="N59" s="68">
        <v>37</v>
      </c>
      <c r="O59" s="68"/>
      <c r="P59" s="68"/>
      <c r="Q59" s="68"/>
      <c r="R59" s="68"/>
      <c r="S59" s="69"/>
      <c r="T59" s="186"/>
      <c r="U59" s="322"/>
      <c r="V59" s="138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4"/>
      <c r="AH59" s="234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5"/>
      <c r="AT59" s="138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1"/>
      <c r="BR59" s="199"/>
      <c r="BS59" s="153"/>
      <c r="BT59" s="156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62"/>
      <c r="CF59" s="120"/>
      <c r="CG59" s="120"/>
      <c r="CH59" s="120"/>
      <c r="CI59" s="120"/>
      <c r="CJ59" s="120"/>
      <c r="CK59" s="120"/>
      <c r="CL59" s="120"/>
      <c r="CM59" s="120"/>
      <c r="CN59" s="120"/>
      <c r="CO59" s="120"/>
      <c r="CP59" s="120"/>
      <c r="CQ59" s="120"/>
      <c r="CR59" s="329"/>
      <c r="CS59" s="138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4"/>
      <c r="DE59" s="106"/>
      <c r="DF59" s="106"/>
      <c r="DG59" s="106"/>
      <c r="DH59" s="106"/>
      <c r="DI59" s="106"/>
      <c r="DJ59" s="106"/>
      <c r="DK59" s="106"/>
      <c r="DL59" s="106"/>
      <c r="DM59" s="106"/>
      <c r="DN59" s="106"/>
      <c r="DO59" s="106"/>
      <c r="DP59" s="109"/>
      <c r="DQ59" s="132"/>
      <c r="DS59" s="114"/>
      <c r="DT59" s="117"/>
    </row>
    <row r="60" spans="1:124" ht="20.25" customHeight="1">
      <c r="A60" s="128"/>
      <c r="B60" s="254"/>
      <c r="C60" s="183"/>
      <c r="D60" s="246"/>
      <c r="E60" s="242" t="s">
        <v>6</v>
      </c>
      <c r="F60" s="2" t="s">
        <v>144</v>
      </c>
      <c r="G60" s="3" t="s">
        <v>153</v>
      </c>
      <c r="H60" s="67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9"/>
      <c r="T60" s="186"/>
      <c r="U60" s="322"/>
      <c r="V60" s="138">
        <f t="shared" ref="V60:AA60" si="52">IFERROR((SUM(H60:H62)/COUNTIF(H60:H62,"&gt;0")),0)</f>
        <v>33.07</v>
      </c>
      <c r="W60" s="141">
        <f t="shared" si="52"/>
        <v>33.07</v>
      </c>
      <c r="X60" s="141">
        <f t="shared" si="52"/>
        <v>29.26</v>
      </c>
      <c r="Y60" s="141">
        <f t="shared" si="52"/>
        <v>33.03</v>
      </c>
      <c r="Z60" s="141">
        <f t="shared" si="52"/>
        <v>37.26</v>
      </c>
      <c r="AA60" s="141">
        <f t="shared" si="52"/>
        <v>33.18</v>
      </c>
      <c r="AB60" s="141">
        <f t="shared" ref="AB60:AG60" si="53">IFERROR((SUM(N60:N62)/COUNTIF(N60:N62,"&gt;0")),0)</f>
        <v>44.2</v>
      </c>
      <c r="AC60" s="141">
        <f t="shared" si="53"/>
        <v>0</v>
      </c>
      <c r="AD60" s="141">
        <f t="shared" si="53"/>
        <v>0</v>
      </c>
      <c r="AE60" s="141">
        <f t="shared" si="53"/>
        <v>0</v>
      </c>
      <c r="AF60" s="141">
        <f t="shared" si="53"/>
        <v>0</v>
      </c>
      <c r="AG60" s="144">
        <f t="shared" si="53"/>
        <v>0</v>
      </c>
      <c r="AH60" s="231">
        <v>1350</v>
      </c>
      <c r="AI60" s="219">
        <v>1341</v>
      </c>
      <c r="AJ60" s="219">
        <v>1331</v>
      </c>
      <c r="AK60" s="219">
        <v>1337</v>
      </c>
      <c r="AL60" s="219">
        <v>1345</v>
      </c>
      <c r="AM60" s="219">
        <v>136</v>
      </c>
      <c r="AN60" s="219">
        <v>137</v>
      </c>
      <c r="AO60" s="219"/>
      <c r="AP60" s="219"/>
      <c r="AQ60" s="219"/>
      <c r="AR60" s="219"/>
      <c r="AS60" s="226"/>
      <c r="AT60" s="138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1"/>
      <c r="BR60" s="199"/>
      <c r="BS60" s="153"/>
      <c r="BT60" s="156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62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0"/>
      <c r="CQ60" s="120"/>
      <c r="CR60" s="329"/>
      <c r="CS60" s="138"/>
      <c r="CT60" s="141"/>
      <c r="CU60" s="141"/>
      <c r="CV60" s="141"/>
      <c r="CW60" s="141"/>
      <c r="CX60" s="141"/>
      <c r="CY60" s="141"/>
      <c r="CZ60" s="141"/>
      <c r="DA60" s="141"/>
      <c r="DB60" s="141"/>
      <c r="DC60" s="141"/>
      <c r="DD60" s="144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9"/>
      <c r="DQ60" s="132"/>
      <c r="DS60" s="114"/>
      <c r="DT60" s="117"/>
    </row>
    <row r="61" spans="1:124" ht="20.25" customHeight="1">
      <c r="A61" s="128"/>
      <c r="B61" s="254"/>
      <c r="C61" s="183"/>
      <c r="D61" s="246"/>
      <c r="E61" s="243"/>
      <c r="F61" s="2" t="s">
        <v>145</v>
      </c>
      <c r="G61" s="3" t="s">
        <v>154</v>
      </c>
      <c r="H61" s="67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9"/>
      <c r="T61" s="186"/>
      <c r="U61" s="322"/>
      <c r="V61" s="138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4"/>
      <c r="AH61" s="23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4"/>
      <c r="AT61" s="138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1"/>
      <c r="BR61" s="199"/>
      <c r="BS61" s="153"/>
      <c r="BT61" s="156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62"/>
      <c r="CF61" s="120"/>
      <c r="CG61" s="120"/>
      <c r="CH61" s="120"/>
      <c r="CI61" s="120"/>
      <c r="CJ61" s="120"/>
      <c r="CK61" s="120"/>
      <c r="CL61" s="120"/>
      <c r="CM61" s="120"/>
      <c r="CN61" s="120"/>
      <c r="CO61" s="120"/>
      <c r="CP61" s="120"/>
      <c r="CQ61" s="120"/>
      <c r="CR61" s="329"/>
      <c r="CS61" s="138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4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9"/>
      <c r="DQ61" s="132"/>
      <c r="DS61" s="114"/>
      <c r="DT61" s="117"/>
    </row>
    <row r="62" spans="1:124" ht="20.25" customHeight="1" thickBot="1">
      <c r="A62" s="128"/>
      <c r="B62" s="254"/>
      <c r="C62" s="184"/>
      <c r="D62" s="247"/>
      <c r="E62" s="244"/>
      <c r="F62" s="80" t="s">
        <v>146</v>
      </c>
      <c r="G62" s="81" t="s">
        <v>155</v>
      </c>
      <c r="H62" s="70">
        <v>33.07</v>
      </c>
      <c r="I62" s="68">
        <v>33.07</v>
      </c>
      <c r="J62" s="68">
        <v>29.26</v>
      </c>
      <c r="K62" s="68">
        <v>33.03</v>
      </c>
      <c r="L62" s="68">
        <v>37.26</v>
      </c>
      <c r="M62" s="68">
        <v>33.18</v>
      </c>
      <c r="N62" s="71">
        <v>44.2</v>
      </c>
      <c r="O62" s="71"/>
      <c r="P62" s="71"/>
      <c r="Q62" s="71"/>
      <c r="R62" s="71"/>
      <c r="S62" s="72"/>
      <c r="T62" s="186"/>
      <c r="U62" s="322"/>
      <c r="V62" s="139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5"/>
      <c r="AH62" s="233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30"/>
      <c r="AT62" s="139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7"/>
      <c r="BR62" s="200"/>
      <c r="BS62" s="154"/>
      <c r="BT62" s="156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62"/>
      <c r="CF62" s="120"/>
      <c r="CG62" s="120"/>
      <c r="CH62" s="120"/>
      <c r="CI62" s="120"/>
      <c r="CJ62" s="120"/>
      <c r="CK62" s="120"/>
      <c r="CL62" s="120"/>
      <c r="CM62" s="120"/>
      <c r="CN62" s="120"/>
      <c r="CO62" s="120"/>
      <c r="CP62" s="120"/>
      <c r="CQ62" s="120"/>
      <c r="CR62" s="329"/>
      <c r="CS62" s="138"/>
      <c r="CT62" s="141"/>
      <c r="CU62" s="141"/>
      <c r="CV62" s="141"/>
      <c r="CW62" s="141"/>
      <c r="CX62" s="141"/>
      <c r="CY62" s="141"/>
      <c r="CZ62" s="141"/>
      <c r="DA62" s="141"/>
      <c r="DB62" s="141"/>
      <c r="DC62" s="141"/>
      <c r="DD62" s="144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DO62" s="106"/>
      <c r="DP62" s="109"/>
      <c r="DQ62" s="132"/>
      <c r="DS62" s="114"/>
      <c r="DT62" s="117"/>
    </row>
    <row r="63" spans="1:124" ht="20.25" customHeight="1">
      <c r="A63" s="128"/>
      <c r="B63" s="254"/>
      <c r="C63" s="182" t="s">
        <v>23</v>
      </c>
      <c r="D63" s="245" t="s">
        <v>124</v>
      </c>
      <c r="E63" s="236" t="s">
        <v>4</v>
      </c>
      <c r="F63" s="78" t="s">
        <v>180</v>
      </c>
      <c r="G63" s="79" t="s">
        <v>190</v>
      </c>
      <c r="H63" s="64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6"/>
      <c r="T63" s="186"/>
      <c r="U63" s="322"/>
      <c r="V63" s="137">
        <f>IFERROR((SUM(H63:H66)/COUNTIF(H63:H66,"&gt;0")),0)</f>
        <v>30.72</v>
      </c>
      <c r="W63" s="140">
        <f t="shared" ref="W63:AG63" si="54">IFERROR((SUM(I63:I66)/COUNTIF(I63:I66,"&gt;0")),0)</f>
        <v>30.72</v>
      </c>
      <c r="X63" s="140">
        <f t="shared" si="54"/>
        <v>30.7</v>
      </c>
      <c r="Y63" s="140">
        <f t="shared" si="54"/>
        <v>32.94</v>
      </c>
      <c r="Z63" s="140">
        <f t="shared" si="54"/>
        <v>20.8</v>
      </c>
      <c r="AA63" s="140">
        <f t="shared" si="54"/>
        <v>24.61</v>
      </c>
      <c r="AB63" s="140">
        <f t="shared" si="54"/>
        <v>19.920000000000002</v>
      </c>
      <c r="AC63" s="140">
        <f t="shared" si="54"/>
        <v>0</v>
      </c>
      <c r="AD63" s="140">
        <f t="shared" si="54"/>
        <v>0</v>
      </c>
      <c r="AE63" s="140">
        <f t="shared" si="54"/>
        <v>0</v>
      </c>
      <c r="AF63" s="140">
        <f t="shared" si="54"/>
        <v>0</v>
      </c>
      <c r="AG63" s="143">
        <f t="shared" si="54"/>
        <v>0</v>
      </c>
      <c r="AH63" s="235">
        <v>1076</v>
      </c>
      <c r="AI63" s="221">
        <v>1941</v>
      </c>
      <c r="AJ63" s="221">
        <v>1971</v>
      </c>
      <c r="AK63" s="221">
        <v>1966</v>
      </c>
      <c r="AL63" s="221">
        <v>1938</v>
      </c>
      <c r="AM63" s="221">
        <v>1948</v>
      </c>
      <c r="AN63" s="221">
        <v>1976</v>
      </c>
      <c r="AO63" s="221"/>
      <c r="AP63" s="221"/>
      <c r="AQ63" s="221"/>
      <c r="AR63" s="221"/>
      <c r="AS63" s="223"/>
      <c r="AT63" s="137">
        <f>IFERROR((((V63*AH63)+(V67*AH67)+(V71*AH71))/SUM(AH63:AH74)),0)</f>
        <v>19.566917791992417</v>
      </c>
      <c r="AU63" s="140">
        <f t="shared" ref="AU63:BE63" si="55">IFERROR((((W63*AI63)+(W67*AI67)+(W71*AI71))/SUM(AI63:AI74)),0)</f>
        <v>24.760072639225182</v>
      </c>
      <c r="AV63" s="140">
        <f t="shared" si="55"/>
        <v>28.523941344778255</v>
      </c>
      <c r="AW63" s="140">
        <f t="shared" si="55"/>
        <v>24.772998565279767</v>
      </c>
      <c r="AX63" s="140">
        <f t="shared" si="55"/>
        <v>21.587603686635944</v>
      </c>
      <c r="AY63" s="140">
        <f t="shared" si="55"/>
        <v>21.413320463320463</v>
      </c>
      <c r="AZ63" s="140">
        <f t="shared" si="55"/>
        <v>19.667789172430243</v>
      </c>
      <c r="BA63" s="140">
        <f t="shared" si="55"/>
        <v>0</v>
      </c>
      <c r="BB63" s="140">
        <f t="shared" si="55"/>
        <v>0</v>
      </c>
      <c r="BC63" s="140">
        <f t="shared" si="55"/>
        <v>0</v>
      </c>
      <c r="BD63" s="140">
        <f t="shared" si="55"/>
        <v>0</v>
      </c>
      <c r="BE63" s="143">
        <f t="shared" si="55"/>
        <v>0</v>
      </c>
      <c r="BF63" s="212">
        <f>SUM(AH63:AH74)</f>
        <v>4221</v>
      </c>
      <c r="BG63" s="212">
        <f t="shared" ref="BG63:BQ63" si="56">SUM(AI63:AI74)</f>
        <v>4130</v>
      </c>
      <c r="BH63" s="212">
        <f t="shared" si="56"/>
        <v>4194</v>
      </c>
      <c r="BI63" s="212">
        <f t="shared" si="56"/>
        <v>4182</v>
      </c>
      <c r="BJ63" s="212">
        <f t="shared" si="56"/>
        <v>4123</v>
      </c>
      <c r="BK63" s="212">
        <f t="shared" si="56"/>
        <v>4144</v>
      </c>
      <c r="BL63" s="212">
        <f t="shared" si="56"/>
        <v>4193</v>
      </c>
      <c r="BM63" s="212">
        <f t="shared" si="56"/>
        <v>0</v>
      </c>
      <c r="BN63" s="212">
        <f t="shared" si="56"/>
        <v>0</v>
      </c>
      <c r="BO63" s="212">
        <f t="shared" si="56"/>
        <v>0</v>
      </c>
      <c r="BP63" s="212">
        <f t="shared" si="56"/>
        <v>0</v>
      </c>
      <c r="BQ63" s="190">
        <f t="shared" si="56"/>
        <v>0</v>
      </c>
      <c r="BR63" s="198">
        <f>IFERROR(((AT63*BF63)+(AU63*BG63)+(AV63*BH63)+(AW63*BI63)+(AX63*BJ63)+(AY63*BK63)+(AZ63*BL63)+(BA63*BM63)+(BB63*BN63)+(BC63*BO63)+(BD63*BP63)+(BE63*BQ63))/SUM(BF63:BQ74),0)</f>
        <v>22.89686093123651</v>
      </c>
      <c r="BS63" s="152">
        <f>BR63</f>
        <v>22.89686093123651</v>
      </c>
      <c r="BT63" s="156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62"/>
      <c r="CF63" s="120"/>
      <c r="CG63" s="120"/>
      <c r="CH63" s="120"/>
      <c r="CI63" s="120"/>
      <c r="CJ63" s="120"/>
      <c r="CK63" s="120"/>
      <c r="CL63" s="120"/>
      <c r="CM63" s="120"/>
      <c r="CN63" s="120"/>
      <c r="CO63" s="120"/>
      <c r="CP63" s="120"/>
      <c r="CQ63" s="120"/>
      <c r="CR63" s="329"/>
      <c r="CS63" s="138"/>
      <c r="CT63" s="141"/>
      <c r="CU63" s="141"/>
      <c r="CV63" s="141"/>
      <c r="CW63" s="141"/>
      <c r="CX63" s="141"/>
      <c r="CY63" s="141"/>
      <c r="CZ63" s="141"/>
      <c r="DA63" s="141"/>
      <c r="DB63" s="141"/>
      <c r="DC63" s="141"/>
      <c r="DD63" s="144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9"/>
      <c r="DQ63" s="132"/>
      <c r="DS63" s="114"/>
      <c r="DT63" s="117"/>
    </row>
    <row r="64" spans="1:124" ht="20.25" customHeight="1">
      <c r="A64" s="128"/>
      <c r="B64" s="254"/>
      <c r="C64" s="183"/>
      <c r="D64" s="246"/>
      <c r="E64" s="237"/>
      <c r="F64" s="22" t="s">
        <v>272</v>
      </c>
      <c r="G64" s="23" t="s">
        <v>191</v>
      </c>
      <c r="H64" s="67">
        <v>30.72</v>
      </c>
      <c r="I64" s="68">
        <v>30.72</v>
      </c>
      <c r="J64" s="68">
        <v>30.7</v>
      </c>
      <c r="K64" s="68">
        <v>32.94</v>
      </c>
      <c r="L64" s="68">
        <v>20.8</v>
      </c>
      <c r="M64" s="68">
        <v>24.61</v>
      </c>
      <c r="N64" s="68">
        <v>19.920000000000002</v>
      </c>
      <c r="O64" s="68"/>
      <c r="P64" s="68"/>
      <c r="Q64" s="68"/>
      <c r="R64" s="68"/>
      <c r="S64" s="69"/>
      <c r="T64" s="186"/>
      <c r="U64" s="322"/>
      <c r="V64" s="138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4"/>
      <c r="AH64" s="23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4"/>
      <c r="AT64" s="138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1"/>
      <c r="BR64" s="199"/>
      <c r="BS64" s="153"/>
      <c r="BT64" s="156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62"/>
      <c r="CF64" s="120"/>
      <c r="CG64" s="120"/>
      <c r="CH64" s="120"/>
      <c r="CI64" s="120"/>
      <c r="CJ64" s="120"/>
      <c r="CK64" s="120"/>
      <c r="CL64" s="120"/>
      <c r="CM64" s="120"/>
      <c r="CN64" s="120"/>
      <c r="CO64" s="120"/>
      <c r="CP64" s="120"/>
      <c r="CQ64" s="120"/>
      <c r="CR64" s="329"/>
      <c r="CS64" s="138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4"/>
      <c r="DE64" s="106"/>
      <c r="DF64" s="106"/>
      <c r="DG64" s="106"/>
      <c r="DH64" s="106"/>
      <c r="DI64" s="106"/>
      <c r="DJ64" s="106"/>
      <c r="DK64" s="106"/>
      <c r="DL64" s="106"/>
      <c r="DM64" s="106"/>
      <c r="DN64" s="106"/>
      <c r="DO64" s="106"/>
      <c r="DP64" s="109"/>
      <c r="DQ64" s="132"/>
      <c r="DS64" s="114"/>
      <c r="DT64" s="117"/>
    </row>
    <row r="65" spans="1:124" ht="20.25" customHeight="1">
      <c r="A65" s="128"/>
      <c r="B65" s="254"/>
      <c r="C65" s="183"/>
      <c r="D65" s="246"/>
      <c r="E65" s="237"/>
      <c r="F65" s="2" t="s">
        <v>181</v>
      </c>
      <c r="G65" s="3" t="s">
        <v>192</v>
      </c>
      <c r="H65" s="67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9"/>
      <c r="T65" s="186"/>
      <c r="U65" s="322"/>
      <c r="V65" s="138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4"/>
      <c r="AH65" s="23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4"/>
      <c r="AT65" s="138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1"/>
      <c r="BR65" s="199"/>
      <c r="BS65" s="153"/>
      <c r="BT65" s="156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62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0"/>
      <c r="CQ65" s="120"/>
      <c r="CR65" s="329"/>
      <c r="CS65" s="138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4"/>
      <c r="DE65" s="106"/>
      <c r="DF65" s="106"/>
      <c r="DG65" s="106"/>
      <c r="DH65" s="106"/>
      <c r="DI65" s="106"/>
      <c r="DJ65" s="106"/>
      <c r="DK65" s="106"/>
      <c r="DL65" s="106"/>
      <c r="DM65" s="106"/>
      <c r="DN65" s="106"/>
      <c r="DO65" s="106"/>
      <c r="DP65" s="109"/>
      <c r="DQ65" s="132"/>
      <c r="DS65" s="114"/>
      <c r="DT65" s="117"/>
    </row>
    <row r="66" spans="1:124" ht="20.25" customHeight="1">
      <c r="A66" s="128"/>
      <c r="B66" s="254"/>
      <c r="C66" s="183"/>
      <c r="D66" s="246"/>
      <c r="E66" s="238"/>
      <c r="F66" s="2" t="s">
        <v>182</v>
      </c>
      <c r="G66" s="3" t="s">
        <v>193</v>
      </c>
      <c r="H66" s="67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9"/>
      <c r="T66" s="186"/>
      <c r="U66" s="322"/>
      <c r="V66" s="138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4"/>
      <c r="AH66" s="234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5"/>
      <c r="AT66" s="138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1"/>
      <c r="BR66" s="199"/>
      <c r="BS66" s="153"/>
      <c r="BT66" s="156"/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  <c r="CE66" s="162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0"/>
      <c r="CQ66" s="120"/>
      <c r="CR66" s="329"/>
      <c r="CS66" s="138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4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9"/>
      <c r="DQ66" s="132"/>
      <c r="DS66" s="114"/>
      <c r="DT66" s="117"/>
    </row>
    <row r="67" spans="1:124" ht="20.25" customHeight="1">
      <c r="A67" s="128"/>
      <c r="B67" s="254"/>
      <c r="C67" s="183"/>
      <c r="D67" s="246"/>
      <c r="E67" s="239" t="s">
        <v>5</v>
      </c>
      <c r="F67" s="2" t="s">
        <v>183</v>
      </c>
      <c r="G67" s="3" t="s">
        <v>194</v>
      </c>
      <c r="H67" s="67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9"/>
      <c r="T67" s="186"/>
      <c r="U67" s="322"/>
      <c r="V67" s="138">
        <f>IFERROR((SUM(H67:H70)/COUNTIF(H67:H70,"&gt;0")),0)</f>
        <v>25.48</v>
      </c>
      <c r="W67" s="141">
        <f t="shared" ref="W67:AG67" si="57">IFERROR((SUM(I67:I70)/COUNTIF(I67:I70,"&gt;0")),0)</f>
        <v>25.48</v>
      </c>
      <c r="X67" s="141">
        <f>IFERROR((SUM(J68:J70)/COUNTIF(J68:J70,"&gt;0")),0)</f>
        <v>24.34</v>
      </c>
      <c r="Y67" s="141">
        <f t="shared" si="57"/>
        <v>18.64</v>
      </c>
      <c r="Z67" s="141">
        <f t="shared" si="57"/>
        <v>24.81</v>
      </c>
      <c r="AA67" s="141">
        <f t="shared" si="57"/>
        <v>18.37</v>
      </c>
      <c r="AB67" s="141">
        <f>IFERROR((SUM(N67:N70)/COUNTIF(N67:N70,"&gt;0")),0)</f>
        <v>19.36</v>
      </c>
      <c r="AC67" s="141">
        <f t="shared" si="57"/>
        <v>0</v>
      </c>
      <c r="AD67" s="141">
        <f t="shared" si="57"/>
        <v>0</v>
      </c>
      <c r="AE67" s="141">
        <f t="shared" si="57"/>
        <v>0</v>
      </c>
      <c r="AF67" s="141">
        <f t="shared" si="57"/>
        <v>0</v>
      </c>
      <c r="AG67" s="144">
        <f t="shared" si="57"/>
        <v>0</v>
      </c>
      <c r="AH67" s="231">
        <v>1029</v>
      </c>
      <c r="AI67" s="219">
        <v>1280</v>
      </c>
      <c r="AJ67" s="219">
        <v>1300</v>
      </c>
      <c r="AK67" s="219">
        <v>1296</v>
      </c>
      <c r="AL67" s="219">
        <v>1278</v>
      </c>
      <c r="AM67" s="219">
        <v>1284</v>
      </c>
      <c r="AN67" s="219">
        <v>1297</v>
      </c>
      <c r="AO67" s="219"/>
      <c r="AP67" s="219"/>
      <c r="AQ67" s="219"/>
      <c r="AR67" s="219"/>
      <c r="AS67" s="226"/>
      <c r="AT67" s="138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1"/>
      <c r="BR67" s="199"/>
      <c r="BS67" s="153"/>
      <c r="BT67" s="156"/>
      <c r="BU67" s="159"/>
      <c r="BV67" s="159"/>
      <c r="BW67" s="159"/>
      <c r="BX67" s="159"/>
      <c r="BY67" s="159"/>
      <c r="BZ67" s="159"/>
      <c r="CA67" s="159"/>
      <c r="CB67" s="159"/>
      <c r="CC67" s="159"/>
      <c r="CD67" s="159"/>
      <c r="CE67" s="162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0"/>
      <c r="CR67" s="329"/>
      <c r="CS67" s="138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4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  <c r="DP67" s="109"/>
      <c r="DQ67" s="132"/>
      <c r="DS67" s="114"/>
      <c r="DT67" s="117"/>
    </row>
    <row r="68" spans="1:124" ht="20.25" customHeight="1">
      <c r="A68" s="128"/>
      <c r="B68" s="254"/>
      <c r="C68" s="183"/>
      <c r="D68" s="246"/>
      <c r="E68" s="240"/>
      <c r="F68" s="84" t="s">
        <v>277</v>
      </c>
      <c r="G68" s="85" t="s">
        <v>195</v>
      </c>
      <c r="H68" s="67">
        <v>25.48</v>
      </c>
      <c r="I68" s="68">
        <v>25.48</v>
      </c>
      <c r="J68" s="68">
        <v>24.34</v>
      </c>
      <c r="K68" s="68">
        <v>18.64</v>
      </c>
      <c r="L68" s="68">
        <v>24.81</v>
      </c>
      <c r="M68" s="68">
        <v>18.37</v>
      </c>
      <c r="N68" s="68">
        <v>19.36</v>
      </c>
      <c r="O68" s="68"/>
      <c r="P68" s="68"/>
      <c r="Q68" s="68"/>
      <c r="R68" s="68"/>
      <c r="S68" s="69"/>
      <c r="T68" s="186"/>
      <c r="U68" s="322"/>
      <c r="V68" s="138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4"/>
      <c r="AH68" s="23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4"/>
      <c r="AT68" s="138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1"/>
      <c r="BR68" s="199"/>
      <c r="BS68" s="153"/>
      <c r="BT68" s="156"/>
      <c r="BU68" s="159"/>
      <c r="BV68" s="159"/>
      <c r="BW68" s="159"/>
      <c r="BX68" s="159"/>
      <c r="BY68" s="159"/>
      <c r="BZ68" s="159"/>
      <c r="CA68" s="159"/>
      <c r="CB68" s="159"/>
      <c r="CC68" s="159"/>
      <c r="CD68" s="159"/>
      <c r="CE68" s="162"/>
      <c r="CF68" s="120"/>
      <c r="CG68" s="120"/>
      <c r="CH68" s="120"/>
      <c r="CI68" s="120"/>
      <c r="CJ68" s="120"/>
      <c r="CK68" s="120"/>
      <c r="CL68" s="120"/>
      <c r="CM68" s="120"/>
      <c r="CN68" s="120"/>
      <c r="CO68" s="120"/>
      <c r="CP68" s="120"/>
      <c r="CQ68" s="120"/>
      <c r="CR68" s="329"/>
      <c r="CS68" s="138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4"/>
      <c r="DE68" s="106"/>
      <c r="DF68" s="106"/>
      <c r="DG68" s="106"/>
      <c r="DH68" s="106"/>
      <c r="DI68" s="106"/>
      <c r="DJ68" s="106"/>
      <c r="DK68" s="106"/>
      <c r="DL68" s="106"/>
      <c r="DM68" s="106"/>
      <c r="DN68" s="106"/>
      <c r="DO68" s="106"/>
      <c r="DP68" s="109"/>
      <c r="DQ68" s="132"/>
      <c r="DS68" s="114"/>
      <c r="DT68" s="117"/>
    </row>
    <row r="69" spans="1:124" ht="20.25" customHeight="1">
      <c r="A69" s="128"/>
      <c r="B69" s="254"/>
      <c r="C69" s="183"/>
      <c r="D69" s="246"/>
      <c r="E69" s="240"/>
      <c r="F69" s="2" t="s">
        <v>184</v>
      </c>
      <c r="G69" s="3" t="s">
        <v>196</v>
      </c>
      <c r="H69" s="67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9"/>
      <c r="T69" s="186"/>
      <c r="U69" s="322"/>
      <c r="V69" s="138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4"/>
      <c r="AH69" s="23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4"/>
      <c r="AT69" s="138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1"/>
      <c r="BR69" s="199"/>
      <c r="BS69" s="153"/>
      <c r="BT69" s="156"/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  <c r="CE69" s="162"/>
      <c r="CF69" s="120"/>
      <c r="CG69" s="120"/>
      <c r="CH69" s="120"/>
      <c r="CI69" s="120"/>
      <c r="CJ69" s="120"/>
      <c r="CK69" s="120"/>
      <c r="CL69" s="120"/>
      <c r="CM69" s="120"/>
      <c r="CN69" s="120"/>
      <c r="CO69" s="120"/>
      <c r="CP69" s="120"/>
      <c r="CQ69" s="120"/>
      <c r="CR69" s="329"/>
      <c r="CS69" s="138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4"/>
      <c r="DE69" s="106"/>
      <c r="DF69" s="106"/>
      <c r="DG69" s="106"/>
      <c r="DH69" s="106"/>
      <c r="DI69" s="106"/>
      <c r="DJ69" s="106"/>
      <c r="DK69" s="106"/>
      <c r="DL69" s="106"/>
      <c r="DM69" s="106"/>
      <c r="DN69" s="106"/>
      <c r="DO69" s="106"/>
      <c r="DP69" s="109"/>
      <c r="DQ69" s="132"/>
      <c r="DS69" s="114"/>
      <c r="DT69" s="117"/>
    </row>
    <row r="70" spans="1:124" ht="20.25" customHeight="1">
      <c r="A70" s="128"/>
      <c r="B70" s="254"/>
      <c r="C70" s="183"/>
      <c r="D70" s="246"/>
      <c r="E70" s="241"/>
      <c r="F70" s="22" t="s">
        <v>185</v>
      </c>
      <c r="G70" s="23" t="s">
        <v>197</v>
      </c>
      <c r="H70" s="67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9"/>
      <c r="T70" s="186"/>
      <c r="U70" s="322"/>
      <c r="V70" s="138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4"/>
      <c r="AH70" s="234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5"/>
      <c r="AT70" s="138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1"/>
      <c r="BR70" s="199"/>
      <c r="BS70" s="153"/>
      <c r="BT70" s="156"/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  <c r="CE70" s="162"/>
      <c r="CF70" s="120"/>
      <c r="CG70" s="120"/>
      <c r="CH70" s="120"/>
      <c r="CI70" s="120"/>
      <c r="CJ70" s="120"/>
      <c r="CK70" s="120"/>
      <c r="CL70" s="120"/>
      <c r="CM70" s="120"/>
      <c r="CN70" s="120"/>
      <c r="CO70" s="120"/>
      <c r="CP70" s="120"/>
      <c r="CQ70" s="120"/>
      <c r="CR70" s="329"/>
      <c r="CS70" s="138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4"/>
      <c r="DE70" s="106"/>
      <c r="DF70" s="106"/>
      <c r="DG70" s="106"/>
      <c r="DH70" s="106"/>
      <c r="DI70" s="106"/>
      <c r="DJ70" s="106"/>
      <c r="DK70" s="106"/>
      <c r="DL70" s="106"/>
      <c r="DM70" s="106"/>
      <c r="DN70" s="106"/>
      <c r="DO70" s="106"/>
      <c r="DP70" s="109"/>
      <c r="DQ70" s="132"/>
      <c r="DS70" s="114"/>
      <c r="DT70" s="117"/>
    </row>
    <row r="71" spans="1:124" ht="20.25" customHeight="1">
      <c r="A71" s="128"/>
      <c r="B71" s="254"/>
      <c r="C71" s="183"/>
      <c r="D71" s="246"/>
      <c r="E71" s="242" t="s">
        <v>6</v>
      </c>
      <c r="F71" s="2" t="s">
        <v>186</v>
      </c>
      <c r="G71" s="3" t="s">
        <v>198</v>
      </c>
      <c r="H71" s="67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9"/>
      <c r="T71" s="186"/>
      <c r="U71" s="322"/>
      <c r="V71" s="138">
        <f>IFERROR((SUM(H71:H74)/COUNTIF(H71:H74,"&gt;0")),0)</f>
        <v>11.02</v>
      </c>
      <c r="W71" s="141">
        <f>IFERROR((SUM(I71:I74)/COUNTIF(I71:I74,"&gt;0")),0)</f>
        <v>11.02</v>
      </c>
      <c r="X71" s="141">
        <f t="shared" ref="X71:AF71" si="58">IFERROR((SUM(J71:J74)/COUNTIF(J71:J74,"&gt;0")),0)</f>
        <v>29.77</v>
      </c>
      <c r="Y71" s="141">
        <f t="shared" si="58"/>
        <v>15.96</v>
      </c>
      <c r="Z71" s="141">
        <f t="shared" si="58"/>
        <v>18.73</v>
      </c>
      <c r="AA71" s="141">
        <f t="shared" si="58"/>
        <v>18.87</v>
      </c>
      <c r="AB71" s="141">
        <f t="shared" si="58"/>
        <v>19.559999999999999</v>
      </c>
      <c r="AC71" s="141">
        <f t="shared" si="58"/>
        <v>0</v>
      </c>
      <c r="AD71" s="141">
        <f t="shared" si="58"/>
        <v>0</v>
      </c>
      <c r="AE71" s="141">
        <f t="shared" si="58"/>
        <v>0</v>
      </c>
      <c r="AF71" s="141">
        <f t="shared" si="58"/>
        <v>0</v>
      </c>
      <c r="AG71" s="144">
        <f t="shared" ref="AG71" si="59">IFERROR((SUM(S71:S74)/COUNTIF(S71:S74,"&gt;0")),0)</f>
        <v>0</v>
      </c>
      <c r="AH71" s="231">
        <v>2116</v>
      </c>
      <c r="AI71" s="219">
        <v>909</v>
      </c>
      <c r="AJ71" s="219">
        <v>923</v>
      </c>
      <c r="AK71" s="219">
        <v>920</v>
      </c>
      <c r="AL71" s="219">
        <v>907</v>
      </c>
      <c r="AM71" s="219">
        <v>912</v>
      </c>
      <c r="AN71" s="219">
        <v>920</v>
      </c>
      <c r="AO71" s="219"/>
      <c r="AP71" s="219"/>
      <c r="AQ71" s="219"/>
      <c r="AR71" s="219"/>
      <c r="AS71" s="226"/>
      <c r="AT71" s="138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1"/>
      <c r="BR71" s="199"/>
      <c r="BS71" s="153"/>
      <c r="BT71" s="156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62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0"/>
      <c r="CQ71" s="120"/>
      <c r="CR71" s="329"/>
      <c r="CS71" s="138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4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DO71" s="106"/>
      <c r="DP71" s="109"/>
      <c r="DQ71" s="132"/>
      <c r="DS71" s="114"/>
      <c r="DT71" s="117"/>
    </row>
    <row r="72" spans="1:124" ht="20.25" customHeight="1">
      <c r="A72" s="128"/>
      <c r="B72" s="254"/>
      <c r="C72" s="183"/>
      <c r="D72" s="246"/>
      <c r="E72" s="243"/>
      <c r="F72" s="22" t="s">
        <v>187</v>
      </c>
      <c r="G72" s="23" t="s">
        <v>199</v>
      </c>
      <c r="H72" s="67">
        <v>11.02</v>
      </c>
      <c r="I72" s="68">
        <v>11.02</v>
      </c>
      <c r="J72" s="68">
        <v>29.77</v>
      </c>
      <c r="K72" s="68">
        <v>15.96</v>
      </c>
      <c r="L72" s="68">
        <v>18.73</v>
      </c>
      <c r="M72" s="68">
        <v>18.87</v>
      </c>
      <c r="N72" s="68">
        <v>19.559999999999999</v>
      </c>
      <c r="O72" s="68"/>
      <c r="P72" s="68"/>
      <c r="Q72" s="68"/>
      <c r="R72" s="68"/>
      <c r="S72" s="69"/>
      <c r="T72" s="186"/>
      <c r="U72" s="322"/>
      <c r="V72" s="138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4"/>
      <c r="AH72" s="23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4"/>
      <c r="AT72" s="138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1"/>
      <c r="BR72" s="199"/>
      <c r="BS72" s="153"/>
      <c r="BT72" s="156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62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329"/>
      <c r="CS72" s="138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4"/>
      <c r="DE72" s="106"/>
      <c r="DF72" s="106"/>
      <c r="DG72" s="106"/>
      <c r="DH72" s="106"/>
      <c r="DI72" s="106"/>
      <c r="DJ72" s="106"/>
      <c r="DK72" s="106"/>
      <c r="DL72" s="106"/>
      <c r="DM72" s="106"/>
      <c r="DN72" s="106"/>
      <c r="DO72" s="106"/>
      <c r="DP72" s="109"/>
      <c r="DQ72" s="132"/>
      <c r="DS72" s="114"/>
      <c r="DT72" s="117"/>
    </row>
    <row r="73" spans="1:124" ht="20.25" customHeight="1">
      <c r="A73" s="128"/>
      <c r="B73" s="254"/>
      <c r="C73" s="183"/>
      <c r="D73" s="246"/>
      <c r="E73" s="243"/>
      <c r="F73" s="2" t="s">
        <v>188</v>
      </c>
      <c r="G73" s="3" t="s">
        <v>200</v>
      </c>
      <c r="H73" s="67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9"/>
      <c r="T73" s="186"/>
      <c r="U73" s="322"/>
      <c r="V73" s="138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4"/>
      <c r="AH73" s="23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4"/>
      <c r="AT73" s="138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1"/>
      <c r="BR73" s="199"/>
      <c r="BS73" s="153"/>
      <c r="BT73" s="156"/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  <c r="CE73" s="162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0"/>
      <c r="CR73" s="329"/>
      <c r="CS73" s="138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4"/>
      <c r="DE73" s="106"/>
      <c r="DF73" s="106"/>
      <c r="DG73" s="106"/>
      <c r="DH73" s="106"/>
      <c r="DI73" s="106"/>
      <c r="DJ73" s="106"/>
      <c r="DK73" s="106"/>
      <c r="DL73" s="106"/>
      <c r="DM73" s="106"/>
      <c r="DN73" s="106"/>
      <c r="DO73" s="106"/>
      <c r="DP73" s="109"/>
      <c r="DQ73" s="132"/>
      <c r="DS73" s="114"/>
      <c r="DT73" s="117"/>
    </row>
    <row r="74" spans="1:124" ht="20.25" customHeight="1" thickBot="1">
      <c r="A74" s="128"/>
      <c r="B74" s="254"/>
      <c r="C74" s="183"/>
      <c r="D74" s="246"/>
      <c r="E74" s="243"/>
      <c r="F74" s="80" t="s">
        <v>189</v>
      </c>
      <c r="G74" s="81" t="s">
        <v>201</v>
      </c>
      <c r="H74" s="73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5"/>
      <c r="T74" s="186"/>
      <c r="U74" s="322"/>
      <c r="V74" s="139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5"/>
      <c r="AH74" s="233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30"/>
      <c r="AT74" s="139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5"/>
      <c r="BF74" s="195"/>
      <c r="BG74" s="195"/>
      <c r="BH74" s="195"/>
      <c r="BI74" s="195"/>
      <c r="BJ74" s="195"/>
      <c r="BK74" s="195"/>
      <c r="BL74" s="195"/>
      <c r="BM74" s="195"/>
      <c r="BN74" s="195"/>
      <c r="BO74" s="195"/>
      <c r="BP74" s="195"/>
      <c r="BQ74" s="197"/>
      <c r="BR74" s="200"/>
      <c r="BS74" s="154"/>
      <c r="BT74" s="156"/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  <c r="CE74" s="162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0"/>
      <c r="CR74" s="329"/>
      <c r="CS74" s="138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4"/>
      <c r="DE74" s="106"/>
      <c r="DF74" s="106"/>
      <c r="DG74" s="106"/>
      <c r="DH74" s="106"/>
      <c r="DI74" s="106"/>
      <c r="DJ74" s="106"/>
      <c r="DK74" s="106"/>
      <c r="DL74" s="106"/>
      <c r="DM74" s="106"/>
      <c r="DN74" s="106"/>
      <c r="DO74" s="106"/>
      <c r="DP74" s="109"/>
      <c r="DQ74" s="132"/>
      <c r="DS74" s="114"/>
      <c r="DT74" s="117"/>
    </row>
    <row r="75" spans="1:124" ht="20.25" customHeight="1">
      <c r="A75" s="128"/>
      <c r="B75" s="254"/>
      <c r="C75" s="348" t="s">
        <v>24</v>
      </c>
      <c r="D75" s="271" t="s">
        <v>126</v>
      </c>
      <c r="E75" s="325" t="s">
        <v>4</v>
      </c>
      <c r="F75" s="8" t="s">
        <v>159</v>
      </c>
      <c r="G75" s="9" t="s">
        <v>168</v>
      </c>
      <c r="H75" s="97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6"/>
      <c r="T75" s="327"/>
      <c r="U75" s="322"/>
      <c r="V75" s="137">
        <f>IFERROR((SUM(H75:H78)/COUNTIF(H75:H78,"&gt;0")),0)</f>
        <v>10.93</v>
      </c>
      <c r="W75" s="140">
        <f>IFERROR((SUM(I75:I78)/COUNTIF(I75:I78,"&gt;0")),0)</f>
        <v>10.93</v>
      </c>
      <c r="X75" s="140">
        <f t="shared" ref="X75:AE75" si="60">IFERROR((SUM(J75:J78)/COUNTIF(J75:J78,"&gt;0")),0)</f>
        <v>11.8</v>
      </c>
      <c r="Y75" s="140">
        <f t="shared" si="60"/>
        <v>13.98</v>
      </c>
      <c r="Z75" s="140">
        <f t="shared" si="60"/>
        <v>17.54</v>
      </c>
      <c r="AA75" s="140">
        <f t="shared" si="60"/>
        <v>18.46</v>
      </c>
      <c r="AB75" s="140">
        <f t="shared" si="60"/>
        <v>18.489999999999998</v>
      </c>
      <c r="AC75" s="140">
        <f t="shared" si="60"/>
        <v>0</v>
      </c>
      <c r="AD75" s="140">
        <f t="shared" si="60"/>
        <v>0</v>
      </c>
      <c r="AE75" s="140">
        <f t="shared" si="60"/>
        <v>0</v>
      </c>
      <c r="AF75" s="140">
        <f t="shared" ref="AF75:AG75" si="61">IFERROR((SUM(R75:R78)/COUNTIF(R75:R78,"&gt;0")),0)</f>
        <v>0</v>
      </c>
      <c r="AG75" s="143">
        <f t="shared" si="61"/>
        <v>0</v>
      </c>
      <c r="AH75" s="235">
        <v>1020</v>
      </c>
      <c r="AI75" s="221">
        <v>2810</v>
      </c>
      <c r="AJ75" s="221">
        <v>2838</v>
      </c>
      <c r="AK75" s="221">
        <v>3082</v>
      </c>
      <c r="AL75" s="221">
        <v>3258</v>
      </c>
      <c r="AM75" s="221">
        <v>3382</v>
      </c>
      <c r="AN75" s="221">
        <v>3705</v>
      </c>
      <c r="AO75" s="221"/>
      <c r="AP75" s="221"/>
      <c r="AQ75" s="221"/>
      <c r="AR75" s="221"/>
      <c r="AS75" s="223"/>
      <c r="AT75" s="137">
        <f>IFERROR((((V75*AH75)+(V79*AH79)+(V83*AH83))/SUM(AH75:AH86)),0)</f>
        <v>19.821988194258115</v>
      </c>
      <c r="AU75" s="140">
        <f t="shared" ref="AU75:BD75" si="62">IFERROR((((W75*AI75)+(W79*AI79)+(W83*AI83))/SUM(AI75:AI86)),0)</f>
        <v>13.457666306111411</v>
      </c>
      <c r="AV75" s="140">
        <f t="shared" si="62"/>
        <v>12.690840921264062</v>
      </c>
      <c r="AW75" s="140">
        <f t="shared" si="62"/>
        <v>14.884969173859433</v>
      </c>
      <c r="AX75" s="140">
        <f t="shared" si="62"/>
        <v>17.860615815255425</v>
      </c>
      <c r="AY75" s="140">
        <f t="shared" si="62"/>
        <v>19.43250561797753</v>
      </c>
      <c r="AZ75" s="140">
        <f t="shared" si="62"/>
        <v>18.443271794871794</v>
      </c>
      <c r="BA75" s="140">
        <f t="shared" si="62"/>
        <v>0</v>
      </c>
      <c r="BB75" s="140">
        <f t="shared" si="62"/>
        <v>0</v>
      </c>
      <c r="BC75" s="140">
        <f t="shared" si="62"/>
        <v>0</v>
      </c>
      <c r="BD75" s="140">
        <f t="shared" si="62"/>
        <v>0</v>
      </c>
      <c r="BE75" s="143">
        <f>IFERROR((((AG75*AS75)+(AG79*AS79)+(AG83*AS83))/SUM(AS75:AS86)),0)</f>
        <v>0</v>
      </c>
      <c r="BF75" s="212">
        <f>SUM(AH75:AH86)</f>
        <v>3727</v>
      </c>
      <c r="BG75" s="212">
        <f t="shared" ref="BG75:BQ75" si="63">SUM(AI75:AI86)</f>
        <v>3698</v>
      </c>
      <c r="BH75" s="212">
        <f t="shared" si="63"/>
        <v>3734</v>
      </c>
      <c r="BI75" s="212">
        <f t="shared" si="63"/>
        <v>4055</v>
      </c>
      <c r="BJ75" s="212">
        <f t="shared" si="63"/>
        <v>4287</v>
      </c>
      <c r="BK75" s="212">
        <f t="shared" si="63"/>
        <v>4450</v>
      </c>
      <c r="BL75" s="212">
        <f t="shared" si="63"/>
        <v>4875</v>
      </c>
      <c r="BM75" s="212">
        <f t="shared" si="63"/>
        <v>0</v>
      </c>
      <c r="BN75" s="212">
        <f t="shared" si="63"/>
        <v>0</v>
      </c>
      <c r="BO75" s="212">
        <f t="shared" si="63"/>
        <v>0</v>
      </c>
      <c r="BP75" s="212">
        <f t="shared" si="63"/>
        <v>0</v>
      </c>
      <c r="BQ75" s="190">
        <f t="shared" si="63"/>
        <v>0</v>
      </c>
      <c r="BR75" s="198">
        <f>IFERROR(((AT75*BF75)+(AU75*BG75)+(AV75*BH75)+(AW75*BI75)+(AX75*BJ75)+(AY75*BK75)+(AZ75*BL75)+(BA75*BM75)+(BB75*BN75)+(BC75*BO75)+(BD75*BP75)+(BE75*BQ75))/SUM(BF75:BQ86),0)</f>
        <v>16.802303822937628</v>
      </c>
      <c r="BS75" s="152">
        <f>IFERROR(((BR75*(SUM(BF75:BQ86)))+(BR87*(SUM(BF87:BQ92))))/(SUM(BF75:BQ92)),0)</f>
        <v>18.722523693742868</v>
      </c>
      <c r="BT75" s="156"/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  <c r="CE75" s="162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329"/>
      <c r="CS75" s="138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4"/>
      <c r="DE75" s="106"/>
      <c r="DF75" s="106"/>
      <c r="DG75" s="106"/>
      <c r="DH75" s="106"/>
      <c r="DI75" s="106"/>
      <c r="DJ75" s="106"/>
      <c r="DK75" s="106"/>
      <c r="DL75" s="106"/>
      <c r="DM75" s="106"/>
      <c r="DN75" s="106"/>
      <c r="DO75" s="106"/>
      <c r="DP75" s="109"/>
      <c r="DQ75" s="132"/>
      <c r="DS75" s="114"/>
      <c r="DT75" s="117"/>
    </row>
    <row r="76" spans="1:124" ht="20.25" customHeight="1">
      <c r="A76" s="128"/>
      <c r="B76" s="254"/>
      <c r="C76" s="349"/>
      <c r="D76" s="272"/>
      <c r="E76" s="326"/>
      <c r="F76" s="22" t="s">
        <v>156</v>
      </c>
      <c r="G76" s="23" t="s">
        <v>169</v>
      </c>
      <c r="H76" s="98">
        <v>10.93</v>
      </c>
      <c r="I76" s="68">
        <v>10.93</v>
      </c>
      <c r="J76" s="68">
        <v>11.8</v>
      </c>
      <c r="K76" s="68">
        <v>13.98</v>
      </c>
      <c r="L76" s="68">
        <v>17.54</v>
      </c>
      <c r="M76" s="68">
        <v>18.46</v>
      </c>
      <c r="N76" s="68">
        <v>18.489999999999998</v>
      </c>
      <c r="O76" s="68"/>
      <c r="P76" s="68"/>
      <c r="Q76" s="68"/>
      <c r="R76" s="68"/>
      <c r="S76" s="69"/>
      <c r="T76" s="327"/>
      <c r="U76" s="322"/>
      <c r="V76" s="138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4"/>
      <c r="AH76" s="23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4"/>
      <c r="AT76" s="138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1"/>
      <c r="BR76" s="199"/>
      <c r="BS76" s="153"/>
      <c r="BT76" s="156"/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  <c r="CE76" s="162"/>
      <c r="CF76" s="120"/>
      <c r="CG76" s="120"/>
      <c r="CH76" s="120"/>
      <c r="CI76" s="120"/>
      <c r="CJ76" s="120"/>
      <c r="CK76" s="120"/>
      <c r="CL76" s="120"/>
      <c r="CM76" s="120"/>
      <c r="CN76" s="120"/>
      <c r="CO76" s="120"/>
      <c r="CP76" s="120"/>
      <c r="CQ76" s="120"/>
      <c r="CR76" s="329"/>
      <c r="CS76" s="138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4"/>
      <c r="DE76" s="106"/>
      <c r="DF76" s="106"/>
      <c r="DG76" s="106"/>
      <c r="DH76" s="106"/>
      <c r="DI76" s="106"/>
      <c r="DJ76" s="106"/>
      <c r="DK76" s="106"/>
      <c r="DL76" s="106"/>
      <c r="DM76" s="106"/>
      <c r="DN76" s="106"/>
      <c r="DO76" s="106"/>
      <c r="DP76" s="109"/>
      <c r="DQ76" s="132"/>
      <c r="DS76" s="114"/>
      <c r="DT76" s="117"/>
    </row>
    <row r="77" spans="1:124" ht="20.25" customHeight="1">
      <c r="A77" s="128"/>
      <c r="B77" s="254"/>
      <c r="C77" s="349"/>
      <c r="D77" s="272"/>
      <c r="E77" s="326"/>
      <c r="F77" s="76" t="s">
        <v>157</v>
      </c>
      <c r="G77" s="77" t="s">
        <v>170</v>
      </c>
      <c r="H77" s="9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9"/>
      <c r="T77" s="327"/>
      <c r="U77" s="322"/>
      <c r="V77" s="138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4"/>
      <c r="AH77" s="232"/>
      <c r="AI77" s="222"/>
      <c r="AJ77" s="222"/>
      <c r="AK77" s="222"/>
      <c r="AL77" s="222"/>
      <c r="AM77" s="222"/>
      <c r="AN77" s="222"/>
      <c r="AO77" s="222"/>
      <c r="AP77" s="222"/>
      <c r="AQ77" s="222"/>
      <c r="AR77" s="222"/>
      <c r="AS77" s="224"/>
      <c r="AT77" s="138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1"/>
      <c r="BR77" s="199"/>
      <c r="BS77" s="153"/>
      <c r="BT77" s="156"/>
      <c r="BU77" s="159"/>
      <c r="BV77" s="159"/>
      <c r="BW77" s="159"/>
      <c r="BX77" s="159"/>
      <c r="BY77" s="159"/>
      <c r="BZ77" s="159"/>
      <c r="CA77" s="159"/>
      <c r="CB77" s="159"/>
      <c r="CC77" s="159"/>
      <c r="CD77" s="159"/>
      <c r="CE77" s="162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329"/>
      <c r="CS77" s="138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4"/>
      <c r="DE77" s="106"/>
      <c r="DF77" s="106"/>
      <c r="DG77" s="106"/>
      <c r="DH77" s="106"/>
      <c r="DI77" s="106"/>
      <c r="DJ77" s="106"/>
      <c r="DK77" s="106"/>
      <c r="DL77" s="106"/>
      <c r="DM77" s="106"/>
      <c r="DN77" s="106"/>
      <c r="DO77" s="106"/>
      <c r="DP77" s="109"/>
      <c r="DQ77" s="132"/>
      <c r="DS77" s="114"/>
      <c r="DT77" s="117"/>
    </row>
    <row r="78" spans="1:124" ht="20.25" customHeight="1">
      <c r="A78" s="128"/>
      <c r="B78" s="254"/>
      <c r="C78" s="349"/>
      <c r="D78" s="272"/>
      <c r="E78" s="326"/>
      <c r="F78" s="2" t="s">
        <v>158</v>
      </c>
      <c r="G78" s="3" t="s">
        <v>171</v>
      </c>
      <c r="H78" s="9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9"/>
      <c r="T78" s="327"/>
      <c r="U78" s="322"/>
      <c r="V78" s="138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4"/>
      <c r="AH78" s="234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5"/>
      <c r="AT78" s="138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1"/>
      <c r="BR78" s="199"/>
      <c r="BS78" s="153"/>
      <c r="BT78" s="156"/>
      <c r="BU78" s="159"/>
      <c r="BV78" s="159"/>
      <c r="BW78" s="159"/>
      <c r="BX78" s="159"/>
      <c r="BY78" s="159"/>
      <c r="BZ78" s="159"/>
      <c r="CA78" s="159"/>
      <c r="CB78" s="159"/>
      <c r="CC78" s="159"/>
      <c r="CD78" s="159"/>
      <c r="CE78" s="162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0"/>
      <c r="CR78" s="329"/>
      <c r="CS78" s="138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4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9"/>
      <c r="DQ78" s="132"/>
      <c r="DS78" s="114"/>
      <c r="DT78" s="117"/>
    </row>
    <row r="79" spans="1:124" ht="20.25" customHeight="1">
      <c r="A79" s="128"/>
      <c r="B79" s="254"/>
      <c r="C79" s="349"/>
      <c r="D79" s="272"/>
      <c r="E79" s="315" t="s">
        <v>5</v>
      </c>
      <c r="F79" s="2" t="s">
        <v>160</v>
      </c>
      <c r="G79" s="3" t="s">
        <v>172</v>
      </c>
      <c r="H79" s="9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9"/>
      <c r="T79" s="327"/>
      <c r="U79" s="322"/>
      <c r="V79" s="138">
        <f>IFERROR((SUM(H79:H82)/COUNTIF(H79:H82,"&gt;0")),0)</f>
        <v>21.09</v>
      </c>
      <c r="W79" s="141">
        <f t="shared" ref="W79:AG79" si="64">IFERROR((SUM(I79:I82)/COUNTIF(I79:I82,"&gt;0")),0)</f>
        <v>21.09</v>
      </c>
      <c r="X79" s="141">
        <f t="shared" si="64"/>
        <v>15.31</v>
      </c>
      <c r="Y79" s="141">
        <f t="shared" si="64"/>
        <v>17.27</v>
      </c>
      <c r="Z79" s="141">
        <f t="shared" si="64"/>
        <v>17.760000000000002</v>
      </c>
      <c r="AA79" s="141">
        <f t="shared" si="64"/>
        <v>21.41</v>
      </c>
      <c r="AB79" s="141">
        <f t="shared" si="64"/>
        <v>17.010000000000002</v>
      </c>
      <c r="AC79" s="141">
        <f t="shared" si="64"/>
        <v>0</v>
      </c>
      <c r="AD79" s="141">
        <f t="shared" si="64"/>
        <v>0</v>
      </c>
      <c r="AE79" s="141">
        <f t="shared" si="64"/>
        <v>0</v>
      </c>
      <c r="AF79" s="141">
        <f t="shared" si="64"/>
        <v>0</v>
      </c>
      <c r="AG79" s="144">
        <f t="shared" si="64"/>
        <v>0</v>
      </c>
      <c r="AH79" s="231">
        <v>783</v>
      </c>
      <c r="AI79" s="219">
        <v>777</v>
      </c>
      <c r="AJ79" s="219">
        <v>784</v>
      </c>
      <c r="AK79" s="219">
        <v>851</v>
      </c>
      <c r="AL79" s="219">
        <v>900</v>
      </c>
      <c r="AM79" s="219">
        <v>935</v>
      </c>
      <c r="AN79" s="219">
        <v>1024</v>
      </c>
      <c r="AO79" s="219"/>
      <c r="AP79" s="219"/>
      <c r="AQ79" s="219"/>
      <c r="AR79" s="219"/>
      <c r="AS79" s="226"/>
      <c r="AT79" s="138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  <c r="BE79" s="14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1"/>
      <c r="BR79" s="199"/>
      <c r="BS79" s="153"/>
      <c r="BT79" s="156"/>
      <c r="BU79" s="159"/>
      <c r="BV79" s="159"/>
      <c r="BW79" s="159"/>
      <c r="BX79" s="159"/>
      <c r="BY79" s="159"/>
      <c r="BZ79" s="159"/>
      <c r="CA79" s="159"/>
      <c r="CB79" s="159"/>
      <c r="CC79" s="159"/>
      <c r="CD79" s="159"/>
      <c r="CE79" s="162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0"/>
      <c r="CR79" s="329"/>
      <c r="CS79" s="138"/>
      <c r="CT79" s="141"/>
      <c r="CU79" s="141"/>
      <c r="CV79" s="141"/>
      <c r="CW79" s="141"/>
      <c r="CX79" s="141"/>
      <c r="CY79" s="141"/>
      <c r="CZ79" s="141"/>
      <c r="DA79" s="141"/>
      <c r="DB79" s="141"/>
      <c r="DC79" s="141"/>
      <c r="DD79" s="144"/>
      <c r="DE79" s="106"/>
      <c r="DF79" s="106"/>
      <c r="DG79" s="106"/>
      <c r="DH79" s="106"/>
      <c r="DI79" s="106"/>
      <c r="DJ79" s="106"/>
      <c r="DK79" s="106"/>
      <c r="DL79" s="106"/>
      <c r="DM79" s="106"/>
      <c r="DN79" s="106"/>
      <c r="DO79" s="106"/>
      <c r="DP79" s="109"/>
      <c r="DQ79" s="132"/>
      <c r="DS79" s="114"/>
      <c r="DT79" s="117"/>
    </row>
    <row r="80" spans="1:124" ht="20.25" customHeight="1">
      <c r="A80" s="128"/>
      <c r="B80" s="254"/>
      <c r="C80" s="349"/>
      <c r="D80" s="272"/>
      <c r="E80" s="315"/>
      <c r="F80" s="101" t="s">
        <v>161</v>
      </c>
      <c r="G80" s="102" t="s">
        <v>173</v>
      </c>
      <c r="H80" s="98">
        <v>21.09</v>
      </c>
      <c r="I80" s="68">
        <v>21.09</v>
      </c>
      <c r="J80" s="68">
        <v>15.31</v>
      </c>
      <c r="K80" s="68">
        <v>17.27</v>
      </c>
      <c r="L80" s="68">
        <v>17.760000000000002</v>
      </c>
      <c r="M80" s="68">
        <v>21.41</v>
      </c>
      <c r="N80" s="68">
        <v>17.010000000000002</v>
      </c>
      <c r="O80" s="68"/>
      <c r="P80" s="68"/>
      <c r="Q80" s="68"/>
      <c r="R80" s="68"/>
      <c r="S80" s="69"/>
      <c r="T80" s="327"/>
      <c r="U80" s="322"/>
      <c r="V80" s="138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4"/>
      <c r="AH80" s="23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4"/>
      <c r="AT80" s="138"/>
      <c r="AU80" s="141"/>
      <c r="AV80" s="141"/>
      <c r="AW80" s="141"/>
      <c r="AX80" s="141"/>
      <c r="AY80" s="141"/>
      <c r="AZ80" s="141"/>
      <c r="BA80" s="141"/>
      <c r="BB80" s="141"/>
      <c r="BC80" s="141"/>
      <c r="BD80" s="141"/>
      <c r="BE80" s="14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1"/>
      <c r="BR80" s="199"/>
      <c r="BS80" s="153"/>
      <c r="BT80" s="156"/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  <c r="CE80" s="162"/>
      <c r="CF80" s="120"/>
      <c r="CG80" s="120"/>
      <c r="CH80" s="120"/>
      <c r="CI80" s="120"/>
      <c r="CJ80" s="120"/>
      <c r="CK80" s="120"/>
      <c r="CL80" s="120"/>
      <c r="CM80" s="120"/>
      <c r="CN80" s="120"/>
      <c r="CO80" s="120"/>
      <c r="CP80" s="120"/>
      <c r="CQ80" s="120"/>
      <c r="CR80" s="329"/>
      <c r="CS80" s="138"/>
      <c r="CT80" s="141"/>
      <c r="CU80" s="141"/>
      <c r="CV80" s="141"/>
      <c r="CW80" s="141"/>
      <c r="CX80" s="141"/>
      <c r="CY80" s="141"/>
      <c r="CZ80" s="141"/>
      <c r="DA80" s="141"/>
      <c r="DB80" s="141"/>
      <c r="DC80" s="141"/>
      <c r="DD80" s="144"/>
      <c r="DE80" s="106"/>
      <c r="DF80" s="106"/>
      <c r="DG80" s="106"/>
      <c r="DH80" s="106"/>
      <c r="DI80" s="106"/>
      <c r="DJ80" s="106"/>
      <c r="DK80" s="106"/>
      <c r="DL80" s="106"/>
      <c r="DM80" s="106"/>
      <c r="DN80" s="106"/>
      <c r="DO80" s="106"/>
      <c r="DP80" s="109"/>
      <c r="DQ80" s="132"/>
      <c r="DS80" s="114"/>
      <c r="DT80" s="117"/>
    </row>
    <row r="81" spans="1:124" ht="20.25" customHeight="1">
      <c r="A81" s="128"/>
      <c r="B81" s="254"/>
      <c r="C81" s="349"/>
      <c r="D81" s="272"/>
      <c r="E81" s="315"/>
      <c r="F81" s="2" t="s">
        <v>162</v>
      </c>
      <c r="G81" s="3" t="s">
        <v>174</v>
      </c>
      <c r="H81" s="9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9"/>
      <c r="T81" s="327"/>
      <c r="U81" s="322"/>
      <c r="V81" s="138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4"/>
      <c r="AH81" s="232"/>
      <c r="AI81" s="222"/>
      <c r="AJ81" s="222"/>
      <c r="AK81" s="222"/>
      <c r="AL81" s="222"/>
      <c r="AM81" s="222"/>
      <c r="AN81" s="222"/>
      <c r="AO81" s="222"/>
      <c r="AP81" s="222"/>
      <c r="AQ81" s="222"/>
      <c r="AR81" s="222"/>
      <c r="AS81" s="224"/>
      <c r="AT81" s="138"/>
      <c r="AU81" s="141"/>
      <c r="AV81" s="141"/>
      <c r="AW81" s="141"/>
      <c r="AX81" s="141"/>
      <c r="AY81" s="141"/>
      <c r="AZ81" s="141"/>
      <c r="BA81" s="141"/>
      <c r="BB81" s="141"/>
      <c r="BC81" s="141"/>
      <c r="BD81" s="141"/>
      <c r="BE81" s="14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1"/>
      <c r="BR81" s="199"/>
      <c r="BS81" s="153"/>
      <c r="BT81" s="156"/>
      <c r="BU81" s="159"/>
      <c r="BV81" s="159"/>
      <c r="BW81" s="159"/>
      <c r="BX81" s="159"/>
      <c r="BY81" s="159"/>
      <c r="BZ81" s="159"/>
      <c r="CA81" s="159"/>
      <c r="CB81" s="159"/>
      <c r="CC81" s="159"/>
      <c r="CD81" s="159"/>
      <c r="CE81" s="162"/>
      <c r="CF81" s="120"/>
      <c r="CG81" s="120"/>
      <c r="CH81" s="120"/>
      <c r="CI81" s="120"/>
      <c r="CJ81" s="120"/>
      <c r="CK81" s="120"/>
      <c r="CL81" s="120"/>
      <c r="CM81" s="120"/>
      <c r="CN81" s="120"/>
      <c r="CO81" s="120"/>
      <c r="CP81" s="120"/>
      <c r="CQ81" s="120"/>
      <c r="CR81" s="329"/>
      <c r="CS81" s="138"/>
      <c r="CT81" s="141"/>
      <c r="CU81" s="141"/>
      <c r="CV81" s="141"/>
      <c r="CW81" s="141"/>
      <c r="CX81" s="141"/>
      <c r="CY81" s="141"/>
      <c r="CZ81" s="141"/>
      <c r="DA81" s="141"/>
      <c r="DB81" s="141"/>
      <c r="DC81" s="141"/>
      <c r="DD81" s="144"/>
      <c r="DE81" s="106"/>
      <c r="DF81" s="106"/>
      <c r="DG81" s="106"/>
      <c r="DH81" s="106"/>
      <c r="DI81" s="106"/>
      <c r="DJ81" s="106"/>
      <c r="DK81" s="106"/>
      <c r="DL81" s="106"/>
      <c r="DM81" s="106"/>
      <c r="DN81" s="106"/>
      <c r="DO81" s="106"/>
      <c r="DP81" s="109"/>
      <c r="DQ81" s="132"/>
      <c r="DS81" s="114"/>
      <c r="DT81" s="117"/>
    </row>
    <row r="82" spans="1:124" ht="20.25" customHeight="1">
      <c r="A82" s="128"/>
      <c r="B82" s="254"/>
      <c r="C82" s="349"/>
      <c r="D82" s="272"/>
      <c r="E82" s="315"/>
      <c r="F82" s="2" t="s">
        <v>163</v>
      </c>
      <c r="G82" s="3" t="s">
        <v>175</v>
      </c>
      <c r="H82" s="9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9"/>
      <c r="T82" s="327"/>
      <c r="U82" s="322"/>
      <c r="V82" s="138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4"/>
      <c r="AH82" s="234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5"/>
      <c r="AT82" s="138"/>
      <c r="AU82" s="141"/>
      <c r="AV82" s="141"/>
      <c r="AW82" s="141"/>
      <c r="AX82" s="141"/>
      <c r="AY82" s="141"/>
      <c r="AZ82" s="141"/>
      <c r="BA82" s="141"/>
      <c r="BB82" s="141"/>
      <c r="BC82" s="141"/>
      <c r="BD82" s="141"/>
      <c r="BE82" s="14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1"/>
      <c r="BR82" s="199"/>
      <c r="BS82" s="153"/>
      <c r="BT82" s="156"/>
      <c r="BU82" s="159"/>
      <c r="BV82" s="159"/>
      <c r="BW82" s="159"/>
      <c r="BX82" s="159"/>
      <c r="BY82" s="159"/>
      <c r="BZ82" s="159"/>
      <c r="CA82" s="159"/>
      <c r="CB82" s="159"/>
      <c r="CC82" s="159"/>
      <c r="CD82" s="159"/>
      <c r="CE82" s="162"/>
      <c r="CF82" s="120"/>
      <c r="CG82" s="120"/>
      <c r="CH82" s="120"/>
      <c r="CI82" s="120"/>
      <c r="CJ82" s="120"/>
      <c r="CK82" s="120"/>
      <c r="CL82" s="120"/>
      <c r="CM82" s="120"/>
      <c r="CN82" s="120"/>
      <c r="CO82" s="120"/>
      <c r="CP82" s="120"/>
      <c r="CQ82" s="120"/>
      <c r="CR82" s="329"/>
      <c r="CS82" s="138"/>
      <c r="CT82" s="141"/>
      <c r="CU82" s="141"/>
      <c r="CV82" s="141"/>
      <c r="CW82" s="141"/>
      <c r="CX82" s="141"/>
      <c r="CY82" s="141"/>
      <c r="CZ82" s="141"/>
      <c r="DA82" s="141"/>
      <c r="DB82" s="141"/>
      <c r="DC82" s="141"/>
      <c r="DD82" s="144"/>
      <c r="DE82" s="106"/>
      <c r="DF82" s="106"/>
      <c r="DG82" s="106"/>
      <c r="DH82" s="106"/>
      <c r="DI82" s="106"/>
      <c r="DJ82" s="106"/>
      <c r="DK82" s="106"/>
      <c r="DL82" s="106"/>
      <c r="DM82" s="106"/>
      <c r="DN82" s="106"/>
      <c r="DO82" s="106"/>
      <c r="DP82" s="109"/>
      <c r="DQ82" s="132"/>
      <c r="DS82" s="114"/>
      <c r="DT82" s="117"/>
    </row>
    <row r="83" spans="1:124" ht="20.25" customHeight="1">
      <c r="A83" s="128"/>
      <c r="B83" s="254"/>
      <c r="C83" s="349"/>
      <c r="D83" s="272"/>
      <c r="E83" s="312" t="s">
        <v>6</v>
      </c>
      <c r="F83" s="76" t="s">
        <v>164</v>
      </c>
      <c r="G83" s="77" t="s">
        <v>176</v>
      </c>
      <c r="H83" s="9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9"/>
      <c r="T83" s="327"/>
      <c r="U83" s="322"/>
      <c r="V83" s="138">
        <f>IFERROR((SUM(H83:H86)/COUNTIF(H83:H86,"&gt;0")),0)</f>
        <v>24.02</v>
      </c>
      <c r="W83" s="141">
        <f t="shared" ref="W83:AG83" si="65">IFERROR((SUM(I83:I86)/COUNTIF(I83:I86,"&gt;0")),0)</f>
        <v>24.02</v>
      </c>
      <c r="X83" s="141">
        <f t="shared" si="65"/>
        <v>16.93</v>
      </c>
      <c r="Y83" s="141">
        <f t="shared" si="65"/>
        <v>21.11</v>
      </c>
      <c r="Z83" s="141">
        <f t="shared" si="65"/>
        <v>26.66</v>
      </c>
      <c r="AA83" s="141">
        <f t="shared" si="65"/>
        <v>30.26</v>
      </c>
      <c r="AB83" s="141">
        <f t="shared" si="65"/>
        <v>27.31</v>
      </c>
      <c r="AC83" s="141">
        <f t="shared" si="65"/>
        <v>0</v>
      </c>
      <c r="AD83" s="141">
        <f t="shared" si="65"/>
        <v>0</v>
      </c>
      <c r="AE83" s="141">
        <f t="shared" si="65"/>
        <v>0</v>
      </c>
      <c r="AF83" s="141">
        <f t="shared" si="65"/>
        <v>0</v>
      </c>
      <c r="AG83" s="144">
        <f t="shared" si="65"/>
        <v>0</v>
      </c>
      <c r="AH83" s="231">
        <v>1924</v>
      </c>
      <c r="AI83" s="219">
        <v>111</v>
      </c>
      <c r="AJ83" s="219">
        <v>112</v>
      </c>
      <c r="AK83" s="219">
        <v>122</v>
      </c>
      <c r="AL83" s="219">
        <v>129</v>
      </c>
      <c r="AM83" s="219">
        <v>133</v>
      </c>
      <c r="AN83" s="219">
        <v>146</v>
      </c>
      <c r="AO83" s="219"/>
      <c r="AP83" s="219"/>
      <c r="AQ83" s="219"/>
      <c r="AR83" s="219"/>
      <c r="AS83" s="226"/>
      <c r="AT83" s="138"/>
      <c r="AU83" s="141"/>
      <c r="AV83" s="141"/>
      <c r="AW83" s="141"/>
      <c r="AX83" s="141"/>
      <c r="AY83" s="141"/>
      <c r="AZ83" s="141"/>
      <c r="BA83" s="141"/>
      <c r="BB83" s="141"/>
      <c r="BC83" s="141"/>
      <c r="BD83" s="141"/>
      <c r="BE83" s="14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1"/>
      <c r="BR83" s="199"/>
      <c r="BS83" s="153"/>
      <c r="BT83" s="156"/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  <c r="CE83" s="162"/>
      <c r="CF83" s="120"/>
      <c r="CG83" s="120"/>
      <c r="CH83" s="120"/>
      <c r="CI83" s="120"/>
      <c r="CJ83" s="120"/>
      <c r="CK83" s="120"/>
      <c r="CL83" s="120"/>
      <c r="CM83" s="120"/>
      <c r="CN83" s="120"/>
      <c r="CO83" s="120"/>
      <c r="CP83" s="120"/>
      <c r="CQ83" s="120"/>
      <c r="CR83" s="329"/>
      <c r="CS83" s="138"/>
      <c r="CT83" s="141"/>
      <c r="CU83" s="141"/>
      <c r="CV83" s="141"/>
      <c r="CW83" s="141"/>
      <c r="CX83" s="141"/>
      <c r="CY83" s="141"/>
      <c r="CZ83" s="141"/>
      <c r="DA83" s="141"/>
      <c r="DB83" s="141"/>
      <c r="DC83" s="141"/>
      <c r="DD83" s="144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9"/>
      <c r="DQ83" s="132"/>
      <c r="DS83" s="114"/>
      <c r="DT83" s="117"/>
    </row>
    <row r="84" spans="1:124" ht="20.25" customHeight="1">
      <c r="A84" s="128"/>
      <c r="B84" s="254"/>
      <c r="C84" s="349"/>
      <c r="D84" s="272"/>
      <c r="E84" s="312"/>
      <c r="F84" s="2" t="s">
        <v>165</v>
      </c>
      <c r="G84" s="3" t="s">
        <v>177</v>
      </c>
      <c r="H84" s="98">
        <v>24.02</v>
      </c>
      <c r="I84" s="68">
        <v>24.02</v>
      </c>
      <c r="J84" s="68">
        <v>16.93</v>
      </c>
      <c r="K84" s="68">
        <v>21.11</v>
      </c>
      <c r="L84" s="68">
        <v>26.66</v>
      </c>
      <c r="M84" s="68">
        <v>30.26</v>
      </c>
      <c r="N84" s="68">
        <v>27.31</v>
      </c>
      <c r="O84" s="68"/>
      <c r="P84" s="68"/>
      <c r="Q84" s="68"/>
      <c r="R84" s="68"/>
      <c r="S84" s="69"/>
      <c r="T84" s="327"/>
      <c r="U84" s="322"/>
      <c r="V84" s="138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4"/>
      <c r="AH84" s="23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4"/>
      <c r="AT84" s="138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1"/>
      <c r="BR84" s="199"/>
      <c r="BS84" s="153"/>
      <c r="BT84" s="156"/>
      <c r="BU84" s="159"/>
      <c r="BV84" s="159"/>
      <c r="BW84" s="159"/>
      <c r="BX84" s="159"/>
      <c r="BY84" s="159"/>
      <c r="BZ84" s="159"/>
      <c r="CA84" s="159"/>
      <c r="CB84" s="159"/>
      <c r="CC84" s="159"/>
      <c r="CD84" s="159"/>
      <c r="CE84" s="162"/>
      <c r="CF84" s="120"/>
      <c r="CG84" s="120"/>
      <c r="CH84" s="120"/>
      <c r="CI84" s="120"/>
      <c r="CJ84" s="120"/>
      <c r="CK84" s="120"/>
      <c r="CL84" s="120"/>
      <c r="CM84" s="120"/>
      <c r="CN84" s="120"/>
      <c r="CO84" s="120"/>
      <c r="CP84" s="120"/>
      <c r="CQ84" s="120"/>
      <c r="CR84" s="329"/>
      <c r="CS84" s="138"/>
      <c r="CT84" s="141"/>
      <c r="CU84" s="141"/>
      <c r="CV84" s="141"/>
      <c r="CW84" s="141"/>
      <c r="CX84" s="141"/>
      <c r="CY84" s="141"/>
      <c r="CZ84" s="141"/>
      <c r="DA84" s="141"/>
      <c r="DB84" s="141"/>
      <c r="DC84" s="141"/>
      <c r="DD84" s="144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9"/>
      <c r="DQ84" s="132"/>
      <c r="DS84" s="114"/>
      <c r="DT84" s="117"/>
    </row>
    <row r="85" spans="1:124" ht="20.25" customHeight="1">
      <c r="A85" s="128"/>
      <c r="B85" s="254"/>
      <c r="C85" s="349"/>
      <c r="D85" s="272"/>
      <c r="E85" s="312"/>
      <c r="F85" s="2" t="s">
        <v>167</v>
      </c>
      <c r="G85" s="3" t="s">
        <v>178</v>
      </c>
      <c r="H85" s="9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9"/>
      <c r="T85" s="327"/>
      <c r="U85" s="322"/>
      <c r="V85" s="138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4"/>
      <c r="AH85" s="23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4"/>
      <c r="AT85" s="138"/>
      <c r="AU85" s="141"/>
      <c r="AV85" s="141"/>
      <c r="AW85" s="141"/>
      <c r="AX85" s="141"/>
      <c r="AY85" s="141"/>
      <c r="AZ85" s="141"/>
      <c r="BA85" s="141"/>
      <c r="BB85" s="141"/>
      <c r="BC85" s="141"/>
      <c r="BD85" s="141"/>
      <c r="BE85" s="14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1"/>
      <c r="BR85" s="199"/>
      <c r="BS85" s="153"/>
      <c r="BT85" s="156"/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  <c r="CE85" s="162"/>
      <c r="CF85" s="120"/>
      <c r="CG85" s="120"/>
      <c r="CH85" s="120"/>
      <c r="CI85" s="120"/>
      <c r="CJ85" s="120"/>
      <c r="CK85" s="120"/>
      <c r="CL85" s="120"/>
      <c r="CM85" s="120"/>
      <c r="CN85" s="120"/>
      <c r="CO85" s="120"/>
      <c r="CP85" s="120"/>
      <c r="CQ85" s="120"/>
      <c r="CR85" s="329"/>
      <c r="CS85" s="138"/>
      <c r="CT85" s="141"/>
      <c r="CU85" s="141"/>
      <c r="CV85" s="141"/>
      <c r="CW85" s="141"/>
      <c r="CX85" s="141"/>
      <c r="CY85" s="141"/>
      <c r="CZ85" s="141"/>
      <c r="DA85" s="141"/>
      <c r="DB85" s="141"/>
      <c r="DC85" s="141"/>
      <c r="DD85" s="144"/>
      <c r="DE85" s="106"/>
      <c r="DF85" s="106"/>
      <c r="DG85" s="106"/>
      <c r="DH85" s="106"/>
      <c r="DI85" s="106"/>
      <c r="DJ85" s="106"/>
      <c r="DK85" s="106"/>
      <c r="DL85" s="106"/>
      <c r="DM85" s="106"/>
      <c r="DN85" s="106"/>
      <c r="DO85" s="106"/>
      <c r="DP85" s="109"/>
      <c r="DQ85" s="132"/>
      <c r="DS85" s="114"/>
      <c r="DT85" s="117"/>
    </row>
    <row r="86" spans="1:124" ht="20.25" customHeight="1">
      <c r="A86" s="128"/>
      <c r="B86" s="254"/>
      <c r="C86" s="349"/>
      <c r="D86" s="272"/>
      <c r="E86" s="312"/>
      <c r="F86" s="2" t="s">
        <v>166</v>
      </c>
      <c r="G86" s="3" t="s">
        <v>179</v>
      </c>
      <c r="H86" s="9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9"/>
      <c r="T86" s="327"/>
      <c r="U86" s="322"/>
      <c r="V86" s="138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4"/>
      <c r="AH86" s="234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5"/>
      <c r="AT86" s="138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4"/>
      <c r="BF86" s="213"/>
      <c r="BG86" s="213"/>
      <c r="BH86" s="213"/>
      <c r="BI86" s="213"/>
      <c r="BJ86" s="213"/>
      <c r="BK86" s="213"/>
      <c r="BL86" s="213"/>
      <c r="BM86" s="213"/>
      <c r="BN86" s="213"/>
      <c r="BO86" s="213"/>
      <c r="BP86" s="213"/>
      <c r="BQ86" s="192"/>
      <c r="BR86" s="199"/>
      <c r="BS86" s="153"/>
      <c r="BT86" s="156"/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  <c r="CE86" s="162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0"/>
      <c r="CR86" s="329"/>
      <c r="CS86" s="138"/>
      <c r="CT86" s="141"/>
      <c r="CU86" s="141"/>
      <c r="CV86" s="141"/>
      <c r="CW86" s="141"/>
      <c r="CX86" s="141"/>
      <c r="CY86" s="141"/>
      <c r="CZ86" s="141"/>
      <c r="DA86" s="141"/>
      <c r="DB86" s="141"/>
      <c r="DC86" s="141"/>
      <c r="DD86" s="144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DO86" s="106"/>
      <c r="DP86" s="109"/>
      <c r="DQ86" s="132"/>
      <c r="DS86" s="114"/>
      <c r="DT86" s="117"/>
    </row>
    <row r="87" spans="1:124" ht="20.25" customHeight="1">
      <c r="A87" s="128"/>
      <c r="B87" s="254"/>
      <c r="C87" s="349"/>
      <c r="D87" s="272" t="s">
        <v>127</v>
      </c>
      <c r="E87" s="326" t="s">
        <v>4</v>
      </c>
      <c r="F87" s="76" t="s">
        <v>128</v>
      </c>
      <c r="G87" s="77" t="s">
        <v>133</v>
      </c>
      <c r="H87" s="9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9"/>
      <c r="T87" s="327"/>
      <c r="U87" s="322"/>
      <c r="V87" s="138">
        <f>IFERROR((SUM(H87:H88)/COUNTIF(H87:H88,"&gt;0")),0)</f>
        <v>10.93</v>
      </c>
      <c r="W87" s="141">
        <f t="shared" ref="W87:AG87" si="66">IFERROR((SUM(I87:I88)/COUNTIF(I87:I88,"&gt;0")),0)</f>
        <v>10.93</v>
      </c>
      <c r="X87" s="141">
        <f t="shared" si="66"/>
        <v>9.86</v>
      </c>
      <c r="Y87" s="141">
        <f t="shared" si="66"/>
        <v>20.58</v>
      </c>
      <c r="Z87" s="141">
        <f t="shared" si="66"/>
        <v>20.59</v>
      </c>
      <c r="AA87" s="141">
        <f t="shared" si="66"/>
        <v>22.59</v>
      </c>
      <c r="AB87" s="141">
        <f t="shared" si="66"/>
        <v>20.3</v>
      </c>
      <c r="AC87" s="141">
        <f t="shared" si="66"/>
        <v>0</v>
      </c>
      <c r="AD87" s="141">
        <f t="shared" si="66"/>
        <v>0</v>
      </c>
      <c r="AE87" s="141">
        <f t="shared" si="66"/>
        <v>0</v>
      </c>
      <c r="AF87" s="141">
        <f t="shared" si="66"/>
        <v>0</v>
      </c>
      <c r="AG87" s="144">
        <f t="shared" si="66"/>
        <v>0</v>
      </c>
      <c r="AH87" s="231">
        <v>421</v>
      </c>
      <c r="AI87" s="219">
        <v>428</v>
      </c>
      <c r="AJ87" s="219">
        <v>428</v>
      </c>
      <c r="AK87" s="219">
        <v>425</v>
      </c>
      <c r="AL87" s="219">
        <v>424</v>
      </c>
      <c r="AM87" s="219">
        <v>425</v>
      </c>
      <c r="AN87" s="219">
        <v>433</v>
      </c>
      <c r="AO87" s="219"/>
      <c r="AP87" s="219"/>
      <c r="AQ87" s="219"/>
      <c r="AR87" s="219"/>
      <c r="AS87" s="226"/>
      <c r="AT87" s="138">
        <f>IFERROR((((V87*AH87)+(V89*AH89)+(V91*AH91))/SUM(AH87:AH92)),0)</f>
        <v>28.37788758492897</v>
      </c>
      <c r="AU87" s="141">
        <f>IFERROR((((W87*AI87)+(W89*AI89)+(W91*AI91))/SUM(AI87:AI92)),0)</f>
        <v>21.549235436893202</v>
      </c>
      <c r="AV87" s="141">
        <f>IFERROR((((X87*AJ87)+(X89*AJ89)+(X91*AJ91))/SUM(AJ87:AJ92)),0)</f>
        <v>13.803633049817739</v>
      </c>
      <c r="AW87" s="141">
        <f t="shared" ref="AW87:BD87" si="67">IFERROR((((Y87*AK87)+(Y89*AK89)+(Y91*AK91))/SUM(AK87:AK92)),0)</f>
        <v>21.235559633027524</v>
      </c>
      <c r="AX87" s="141">
        <f t="shared" si="67"/>
        <v>28.952507664009811</v>
      </c>
      <c r="AY87" s="141">
        <f t="shared" si="67"/>
        <v>25.986754278728608</v>
      </c>
      <c r="AZ87" s="141">
        <f t="shared" si="67"/>
        <v>25.016876876876875</v>
      </c>
      <c r="BA87" s="141">
        <f t="shared" si="67"/>
        <v>0</v>
      </c>
      <c r="BB87" s="141">
        <f t="shared" si="67"/>
        <v>0</v>
      </c>
      <c r="BC87" s="141">
        <f t="shared" si="67"/>
        <v>0</v>
      </c>
      <c r="BD87" s="141">
        <f t="shared" si="67"/>
        <v>0</v>
      </c>
      <c r="BE87" s="144">
        <f>IFERROR((((AG87*AS87)+(AG89*AS89)+(AG91*AS91))/SUM(AS87:AS92)),0)</f>
        <v>0</v>
      </c>
      <c r="BF87" s="193">
        <f>SUM(AH87:AH92)</f>
        <v>1619</v>
      </c>
      <c r="BG87" s="193">
        <f t="shared" ref="BG87:BQ87" si="68">SUM(AI87:AI92)</f>
        <v>1648</v>
      </c>
      <c r="BH87" s="193">
        <f t="shared" si="68"/>
        <v>1646</v>
      </c>
      <c r="BI87" s="193">
        <f t="shared" si="68"/>
        <v>1635</v>
      </c>
      <c r="BJ87" s="193">
        <f t="shared" si="68"/>
        <v>1631</v>
      </c>
      <c r="BK87" s="193">
        <f t="shared" si="68"/>
        <v>1636</v>
      </c>
      <c r="BL87" s="193">
        <f t="shared" si="68"/>
        <v>1665</v>
      </c>
      <c r="BM87" s="193">
        <f t="shared" si="68"/>
        <v>0</v>
      </c>
      <c r="BN87" s="193">
        <f t="shared" si="68"/>
        <v>0</v>
      </c>
      <c r="BO87" s="193">
        <f t="shared" si="68"/>
        <v>0</v>
      </c>
      <c r="BP87" s="193">
        <f t="shared" si="68"/>
        <v>0</v>
      </c>
      <c r="BQ87" s="196">
        <f t="shared" si="68"/>
        <v>0</v>
      </c>
      <c r="BR87" s="202">
        <f>IFERROR(((AT87*BF87)+(AU87*BG87)+(AV87*BH87)+(AW87*BI87)+(AX87*BJ87)+(AY87*BK87)+(AZ87*BL87)+(BA87*BM87)+(BB87*BN87)+(BC87*BO87)+(BD87*BP87)+(BE87*BQ87))/SUM(BF87:BQ92),0)</f>
        <v>23.544148954703829</v>
      </c>
      <c r="BS87" s="153"/>
      <c r="BT87" s="156"/>
      <c r="BU87" s="159"/>
      <c r="BV87" s="159"/>
      <c r="BW87" s="159"/>
      <c r="BX87" s="159"/>
      <c r="BY87" s="159"/>
      <c r="BZ87" s="159"/>
      <c r="CA87" s="159"/>
      <c r="CB87" s="159"/>
      <c r="CC87" s="159"/>
      <c r="CD87" s="159"/>
      <c r="CE87" s="162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0"/>
      <c r="CQ87" s="120"/>
      <c r="CR87" s="329"/>
      <c r="CS87" s="138"/>
      <c r="CT87" s="141"/>
      <c r="CU87" s="141"/>
      <c r="CV87" s="141"/>
      <c r="CW87" s="141"/>
      <c r="CX87" s="141"/>
      <c r="CY87" s="141"/>
      <c r="CZ87" s="141"/>
      <c r="DA87" s="141"/>
      <c r="DB87" s="141"/>
      <c r="DC87" s="141"/>
      <c r="DD87" s="144"/>
      <c r="DE87" s="106"/>
      <c r="DF87" s="106"/>
      <c r="DG87" s="106"/>
      <c r="DH87" s="106"/>
      <c r="DI87" s="106"/>
      <c r="DJ87" s="106"/>
      <c r="DK87" s="106"/>
      <c r="DL87" s="106"/>
      <c r="DM87" s="106"/>
      <c r="DN87" s="106"/>
      <c r="DO87" s="106"/>
      <c r="DP87" s="109"/>
      <c r="DQ87" s="132"/>
      <c r="DS87" s="114"/>
      <c r="DT87" s="117"/>
    </row>
    <row r="88" spans="1:124" ht="20.25" customHeight="1">
      <c r="A88" s="128"/>
      <c r="B88" s="254"/>
      <c r="C88" s="349"/>
      <c r="D88" s="272"/>
      <c r="E88" s="326"/>
      <c r="F88" s="103" t="s">
        <v>129</v>
      </c>
      <c r="G88" s="104" t="s">
        <v>134</v>
      </c>
      <c r="H88" s="98">
        <v>10.93</v>
      </c>
      <c r="I88" s="68">
        <v>10.93</v>
      </c>
      <c r="J88" s="68">
        <v>9.86</v>
      </c>
      <c r="K88" s="68">
        <v>20.58</v>
      </c>
      <c r="L88" s="68">
        <v>20.59</v>
      </c>
      <c r="M88" s="68">
        <v>22.59</v>
      </c>
      <c r="N88" s="68">
        <v>20.3</v>
      </c>
      <c r="O88" s="68"/>
      <c r="P88" s="68"/>
      <c r="Q88" s="68"/>
      <c r="R88" s="68"/>
      <c r="S88" s="69"/>
      <c r="T88" s="327"/>
      <c r="U88" s="322"/>
      <c r="V88" s="138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4"/>
      <c r="AH88" s="234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5"/>
      <c r="AT88" s="138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  <c r="BE88" s="14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1"/>
      <c r="BR88" s="202"/>
      <c r="BS88" s="153"/>
      <c r="BT88" s="156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62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0"/>
      <c r="CR88" s="329"/>
      <c r="CS88" s="138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4"/>
      <c r="DE88" s="106"/>
      <c r="DF88" s="106"/>
      <c r="DG88" s="106"/>
      <c r="DH88" s="106"/>
      <c r="DI88" s="106"/>
      <c r="DJ88" s="106"/>
      <c r="DK88" s="106"/>
      <c r="DL88" s="106"/>
      <c r="DM88" s="106"/>
      <c r="DN88" s="106"/>
      <c r="DO88" s="106"/>
      <c r="DP88" s="109"/>
      <c r="DQ88" s="132"/>
      <c r="DS88" s="114"/>
      <c r="DT88" s="117"/>
    </row>
    <row r="89" spans="1:124" ht="20.25" customHeight="1">
      <c r="A89" s="128"/>
      <c r="B89" s="254"/>
      <c r="C89" s="349"/>
      <c r="D89" s="272"/>
      <c r="E89" s="315" t="s">
        <v>5</v>
      </c>
      <c r="F89" s="2" t="s">
        <v>130</v>
      </c>
      <c r="G89" s="3" t="s">
        <v>135</v>
      </c>
      <c r="H89" s="9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9"/>
      <c r="T89" s="327"/>
      <c r="U89" s="322"/>
      <c r="V89" s="138">
        <f>IFERROR((SUM(H89:H90)/COUNTIF(H89:H90,"&gt;0")),0)</f>
        <v>22.54</v>
      </c>
      <c r="W89" s="332">
        <f>IFERROR((SUM(I89:I90)/COUNTIF(I89:I90,"&gt;0")),0)</f>
        <v>22.54</v>
      </c>
      <c r="X89" s="332">
        <f t="shared" ref="X89:AE89" si="69">IFERROR((SUM(J89:J90)/COUNTIF(J89:J90,"&gt;0")),0)</f>
        <v>11.8</v>
      </c>
      <c r="Y89" s="332">
        <f t="shared" si="69"/>
        <v>17.920000000000002</v>
      </c>
      <c r="Z89" s="332">
        <f t="shared" si="69"/>
        <v>30.82</v>
      </c>
      <c r="AA89" s="332">
        <f t="shared" si="69"/>
        <v>26.3</v>
      </c>
      <c r="AB89" s="332">
        <f t="shared" si="69"/>
        <v>25.85</v>
      </c>
      <c r="AC89" s="332">
        <f t="shared" si="69"/>
        <v>0</v>
      </c>
      <c r="AD89" s="332">
        <f t="shared" si="69"/>
        <v>0</v>
      </c>
      <c r="AE89" s="332">
        <f t="shared" si="69"/>
        <v>0</v>
      </c>
      <c r="AF89" s="332">
        <f t="shared" ref="AF89:AG89" si="70">IFERROR((SUM(R89:R90)/COUNTIF(R89:R90,"&gt;0")),0)</f>
        <v>0</v>
      </c>
      <c r="AG89" s="144">
        <f t="shared" si="70"/>
        <v>0</v>
      </c>
      <c r="AH89" s="231">
        <v>347</v>
      </c>
      <c r="AI89" s="219">
        <v>1022</v>
      </c>
      <c r="AJ89" s="219">
        <v>1020</v>
      </c>
      <c r="AK89" s="219">
        <v>1014</v>
      </c>
      <c r="AL89" s="219">
        <v>1011</v>
      </c>
      <c r="AM89" s="219">
        <v>1015</v>
      </c>
      <c r="AN89" s="219">
        <v>1032</v>
      </c>
      <c r="AO89" s="219"/>
      <c r="AP89" s="219"/>
      <c r="AQ89" s="219"/>
      <c r="AR89" s="219"/>
      <c r="AS89" s="226"/>
      <c r="AT89" s="138"/>
      <c r="AU89" s="141"/>
      <c r="AV89" s="141"/>
      <c r="AW89" s="141"/>
      <c r="AX89" s="141"/>
      <c r="AY89" s="141"/>
      <c r="AZ89" s="141"/>
      <c r="BA89" s="141"/>
      <c r="BB89" s="141"/>
      <c r="BC89" s="141"/>
      <c r="BD89" s="141"/>
      <c r="BE89" s="14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1"/>
      <c r="BR89" s="202"/>
      <c r="BS89" s="153"/>
      <c r="BT89" s="156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62"/>
      <c r="CF89" s="120"/>
      <c r="CG89" s="120"/>
      <c r="CH89" s="120"/>
      <c r="CI89" s="120"/>
      <c r="CJ89" s="120"/>
      <c r="CK89" s="120"/>
      <c r="CL89" s="120"/>
      <c r="CM89" s="120"/>
      <c r="CN89" s="120"/>
      <c r="CO89" s="120"/>
      <c r="CP89" s="120"/>
      <c r="CQ89" s="120"/>
      <c r="CR89" s="329"/>
      <c r="CS89" s="138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4"/>
      <c r="DE89" s="106"/>
      <c r="DF89" s="106"/>
      <c r="DG89" s="106"/>
      <c r="DH89" s="106"/>
      <c r="DI89" s="106"/>
      <c r="DJ89" s="106"/>
      <c r="DK89" s="106"/>
      <c r="DL89" s="106"/>
      <c r="DM89" s="106"/>
      <c r="DN89" s="106"/>
      <c r="DO89" s="106"/>
      <c r="DP89" s="109"/>
      <c r="DQ89" s="132"/>
      <c r="DS89" s="114"/>
      <c r="DT89" s="117"/>
    </row>
    <row r="90" spans="1:124" ht="20.25" customHeight="1">
      <c r="A90" s="128"/>
      <c r="B90" s="254"/>
      <c r="C90" s="349"/>
      <c r="D90" s="272"/>
      <c r="E90" s="315"/>
      <c r="F90" s="76" t="s">
        <v>131</v>
      </c>
      <c r="G90" s="77" t="s">
        <v>136</v>
      </c>
      <c r="H90" s="98">
        <v>22.54</v>
      </c>
      <c r="I90" s="68">
        <v>22.54</v>
      </c>
      <c r="J90" s="68">
        <v>11.8</v>
      </c>
      <c r="K90" s="68">
        <v>17.920000000000002</v>
      </c>
      <c r="L90" s="68">
        <v>30.82</v>
      </c>
      <c r="M90" s="68">
        <v>26.3</v>
      </c>
      <c r="N90" s="68">
        <v>25.85</v>
      </c>
      <c r="O90" s="68"/>
      <c r="P90" s="68"/>
      <c r="Q90" s="68"/>
      <c r="R90" s="68"/>
      <c r="S90" s="69"/>
      <c r="T90" s="327"/>
      <c r="U90" s="322"/>
      <c r="V90" s="138"/>
      <c r="W90" s="339"/>
      <c r="X90" s="339"/>
      <c r="Y90" s="339"/>
      <c r="Z90" s="339"/>
      <c r="AA90" s="339"/>
      <c r="AB90" s="339"/>
      <c r="AC90" s="339"/>
      <c r="AD90" s="339"/>
      <c r="AE90" s="339"/>
      <c r="AF90" s="339"/>
      <c r="AG90" s="144"/>
      <c r="AH90" s="234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5"/>
      <c r="AT90" s="138"/>
      <c r="AU90" s="141"/>
      <c r="AV90" s="141"/>
      <c r="AW90" s="141"/>
      <c r="AX90" s="141"/>
      <c r="AY90" s="141"/>
      <c r="AZ90" s="141"/>
      <c r="BA90" s="141"/>
      <c r="BB90" s="141"/>
      <c r="BC90" s="141"/>
      <c r="BD90" s="141"/>
      <c r="BE90" s="14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1"/>
      <c r="BR90" s="202"/>
      <c r="BS90" s="153"/>
      <c r="BT90" s="156"/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  <c r="CE90" s="162"/>
      <c r="CF90" s="120"/>
      <c r="CG90" s="120"/>
      <c r="CH90" s="120"/>
      <c r="CI90" s="120"/>
      <c r="CJ90" s="120"/>
      <c r="CK90" s="120"/>
      <c r="CL90" s="120"/>
      <c r="CM90" s="120"/>
      <c r="CN90" s="120"/>
      <c r="CO90" s="120"/>
      <c r="CP90" s="120"/>
      <c r="CQ90" s="120"/>
      <c r="CR90" s="329"/>
      <c r="CS90" s="138"/>
      <c r="CT90" s="141"/>
      <c r="CU90" s="141"/>
      <c r="CV90" s="141"/>
      <c r="CW90" s="141"/>
      <c r="CX90" s="141"/>
      <c r="CY90" s="141"/>
      <c r="CZ90" s="141"/>
      <c r="DA90" s="141"/>
      <c r="DB90" s="141"/>
      <c r="DC90" s="141"/>
      <c r="DD90" s="144"/>
      <c r="DE90" s="106"/>
      <c r="DF90" s="106"/>
      <c r="DG90" s="106"/>
      <c r="DH90" s="106"/>
      <c r="DI90" s="106"/>
      <c r="DJ90" s="106"/>
      <c r="DK90" s="106"/>
      <c r="DL90" s="106"/>
      <c r="DM90" s="106"/>
      <c r="DN90" s="106"/>
      <c r="DO90" s="106"/>
      <c r="DP90" s="109"/>
      <c r="DQ90" s="132"/>
      <c r="DS90" s="114"/>
      <c r="DT90" s="117"/>
    </row>
    <row r="91" spans="1:124" ht="20.25" customHeight="1">
      <c r="A91" s="128"/>
      <c r="B91" s="254"/>
      <c r="C91" s="349"/>
      <c r="D91" s="272"/>
      <c r="E91" s="312" t="s">
        <v>6</v>
      </c>
      <c r="F91" s="2" t="s">
        <v>132</v>
      </c>
      <c r="G91" s="3" t="s">
        <v>137</v>
      </c>
      <c r="H91" s="9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9"/>
      <c r="T91" s="327"/>
      <c r="U91" s="322"/>
      <c r="V91" s="138">
        <f>IFERROR((SUM(H91:H92)/COUNTIF(H91:H92,"&gt;0")),0)</f>
        <v>39.39</v>
      </c>
      <c r="W91" s="141">
        <f>IFERROR((SUM(I91:I92)/COUNTIF(I91:I92,"&gt;0")),0)</f>
        <v>39.39</v>
      </c>
      <c r="X91" s="141">
        <f t="shared" ref="X91:AE91" si="71">IFERROR((SUM(J91:J92)/COUNTIF(J91:J92,"&gt;0")),0)</f>
        <v>32.65</v>
      </c>
      <c r="Y91" s="141">
        <f t="shared" si="71"/>
        <v>39.81</v>
      </c>
      <c r="Z91" s="141">
        <f t="shared" si="71"/>
        <v>37.409999999999997</v>
      </c>
      <c r="AA91" s="141">
        <f t="shared" si="71"/>
        <v>31.73</v>
      </c>
      <c r="AB91" s="141">
        <f t="shared" si="71"/>
        <v>30.93</v>
      </c>
      <c r="AC91" s="141">
        <f t="shared" si="71"/>
        <v>0</v>
      </c>
      <c r="AD91" s="141">
        <f t="shared" si="71"/>
        <v>0</v>
      </c>
      <c r="AE91" s="141">
        <f t="shared" si="71"/>
        <v>0</v>
      </c>
      <c r="AF91" s="141">
        <f t="shared" ref="AF91:AG91" si="72">IFERROR((SUM(R91:R92)/COUNTIF(R91:R92,"&gt;0")),0)</f>
        <v>0</v>
      </c>
      <c r="AG91" s="144">
        <f t="shared" si="72"/>
        <v>0</v>
      </c>
      <c r="AH91" s="231">
        <v>851</v>
      </c>
      <c r="AI91" s="219">
        <v>198</v>
      </c>
      <c r="AJ91" s="219">
        <v>198</v>
      </c>
      <c r="AK91" s="219">
        <v>196</v>
      </c>
      <c r="AL91" s="219">
        <v>196</v>
      </c>
      <c r="AM91" s="219">
        <v>196</v>
      </c>
      <c r="AN91" s="219">
        <v>200</v>
      </c>
      <c r="AO91" s="219"/>
      <c r="AP91" s="219"/>
      <c r="AQ91" s="219"/>
      <c r="AR91" s="219"/>
      <c r="AS91" s="226"/>
      <c r="AT91" s="138"/>
      <c r="AU91" s="141"/>
      <c r="AV91" s="141"/>
      <c r="AW91" s="141"/>
      <c r="AX91" s="141"/>
      <c r="AY91" s="141"/>
      <c r="AZ91" s="141"/>
      <c r="BA91" s="141"/>
      <c r="BB91" s="141"/>
      <c r="BC91" s="141"/>
      <c r="BD91" s="141"/>
      <c r="BE91" s="14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1"/>
      <c r="BR91" s="202"/>
      <c r="BS91" s="153"/>
      <c r="BT91" s="156"/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  <c r="CE91" s="162"/>
      <c r="CF91" s="120"/>
      <c r="CG91" s="120"/>
      <c r="CH91" s="120"/>
      <c r="CI91" s="120"/>
      <c r="CJ91" s="120"/>
      <c r="CK91" s="120"/>
      <c r="CL91" s="120"/>
      <c r="CM91" s="120"/>
      <c r="CN91" s="120"/>
      <c r="CO91" s="120"/>
      <c r="CP91" s="120"/>
      <c r="CQ91" s="120"/>
      <c r="CR91" s="329"/>
      <c r="CS91" s="138"/>
      <c r="CT91" s="141"/>
      <c r="CU91" s="141"/>
      <c r="CV91" s="141"/>
      <c r="CW91" s="141"/>
      <c r="CX91" s="141"/>
      <c r="CY91" s="141"/>
      <c r="CZ91" s="141"/>
      <c r="DA91" s="141"/>
      <c r="DB91" s="141"/>
      <c r="DC91" s="141"/>
      <c r="DD91" s="144"/>
      <c r="DE91" s="106"/>
      <c r="DF91" s="106"/>
      <c r="DG91" s="106"/>
      <c r="DH91" s="106"/>
      <c r="DI91" s="106"/>
      <c r="DJ91" s="106"/>
      <c r="DK91" s="106"/>
      <c r="DL91" s="106"/>
      <c r="DM91" s="106"/>
      <c r="DN91" s="106"/>
      <c r="DO91" s="106"/>
      <c r="DP91" s="109"/>
      <c r="DQ91" s="132"/>
      <c r="DS91" s="114"/>
      <c r="DT91" s="117"/>
    </row>
    <row r="92" spans="1:124" ht="20.25" customHeight="1" thickBot="1">
      <c r="A92" s="128"/>
      <c r="B92" s="254"/>
      <c r="C92" s="350"/>
      <c r="D92" s="273"/>
      <c r="E92" s="313"/>
      <c r="F92" s="80" t="s">
        <v>274</v>
      </c>
      <c r="G92" s="81" t="s">
        <v>138</v>
      </c>
      <c r="H92" s="99">
        <v>39.39</v>
      </c>
      <c r="I92" s="71">
        <v>39.39</v>
      </c>
      <c r="J92" s="71">
        <v>32.65</v>
      </c>
      <c r="K92" s="71">
        <v>39.81</v>
      </c>
      <c r="L92" s="71">
        <v>37.409999999999997</v>
      </c>
      <c r="M92" s="71">
        <v>31.73</v>
      </c>
      <c r="N92" s="71">
        <v>30.93</v>
      </c>
      <c r="O92" s="71"/>
      <c r="P92" s="71"/>
      <c r="Q92" s="71"/>
      <c r="R92" s="71"/>
      <c r="S92" s="72"/>
      <c r="T92" s="327"/>
      <c r="U92" s="322"/>
      <c r="V92" s="139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5"/>
      <c r="AH92" s="233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30"/>
      <c r="AT92" s="139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5"/>
      <c r="BF92" s="195"/>
      <c r="BG92" s="195"/>
      <c r="BH92" s="195"/>
      <c r="BI92" s="195"/>
      <c r="BJ92" s="195"/>
      <c r="BK92" s="195"/>
      <c r="BL92" s="195"/>
      <c r="BM92" s="195"/>
      <c r="BN92" s="195"/>
      <c r="BO92" s="195"/>
      <c r="BP92" s="195"/>
      <c r="BQ92" s="197"/>
      <c r="BR92" s="203"/>
      <c r="BS92" s="154"/>
      <c r="BT92" s="156"/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  <c r="CE92" s="162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0"/>
      <c r="CQ92" s="120"/>
      <c r="CR92" s="329"/>
      <c r="CS92" s="138"/>
      <c r="CT92" s="141"/>
      <c r="CU92" s="141"/>
      <c r="CV92" s="141"/>
      <c r="CW92" s="141"/>
      <c r="CX92" s="141"/>
      <c r="CY92" s="141"/>
      <c r="CZ92" s="141"/>
      <c r="DA92" s="141"/>
      <c r="DB92" s="141"/>
      <c r="DC92" s="141"/>
      <c r="DD92" s="144"/>
      <c r="DE92" s="106"/>
      <c r="DF92" s="106"/>
      <c r="DG92" s="106"/>
      <c r="DH92" s="106"/>
      <c r="DI92" s="106"/>
      <c r="DJ92" s="106"/>
      <c r="DK92" s="106"/>
      <c r="DL92" s="106"/>
      <c r="DM92" s="106"/>
      <c r="DN92" s="106"/>
      <c r="DO92" s="106"/>
      <c r="DP92" s="109"/>
      <c r="DQ92" s="132"/>
      <c r="DS92" s="114"/>
      <c r="DT92" s="117"/>
    </row>
    <row r="93" spans="1:124" ht="20.25" customHeight="1">
      <c r="A93" s="128"/>
      <c r="B93" s="254"/>
      <c r="C93" s="351" t="s">
        <v>25</v>
      </c>
      <c r="D93" s="248" t="s">
        <v>125</v>
      </c>
      <c r="E93" s="237" t="s">
        <v>4</v>
      </c>
      <c r="F93" s="8" t="s">
        <v>202</v>
      </c>
      <c r="G93" s="9" t="s">
        <v>222</v>
      </c>
      <c r="H93" s="94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6"/>
      <c r="T93" s="186"/>
      <c r="U93" s="322"/>
      <c r="V93" s="137">
        <f>IFERROR((SUM(H93:H99)/COUNTIF(H93:H99,"&gt;0")),0)</f>
        <v>30.98</v>
      </c>
      <c r="W93" s="140">
        <f t="shared" ref="W93:AG93" si="73">IFERROR((SUM(I93:I99)/COUNTIF(I93:I99,"&gt;0")),0)</f>
        <v>30.98</v>
      </c>
      <c r="X93" s="140">
        <f t="shared" si="73"/>
        <v>22.14</v>
      </c>
      <c r="Y93" s="140">
        <f t="shared" si="73"/>
        <v>27.16</v>
      </c>
      <c r="Z93" s="140">
        <f t="shared" si="73"/>
        <v>33.58</v>
      </c>
      <c r="AA93" s="140">
        <f t="shared" si="73"/>
        <v>31.28</v>
      </c>
      <c r="AB93" s="140">
        <f t="shared" si="73"/>
        <v>31.09</v>
      </c>
      <c r="AC93" s="140">
        <f t="shared" si="73"/>
        <v>0</v>
      </c>
      <c r="AD93" s="140">
        <f t="shared" si="73"/>
        <v>0</v>
      </c>
      <c r="AE93" s="140">
        <f t="shared" si="73"/>
        <v>0</v>
      </c>
      <c r="AF93" s="140">
        <f t="shared" si="73"/>
        <v>0</v>
      </c>
      <c r="AG93" s="143">
        <f t="shared" si="73"/>
        <v>0</v>
      </c>
      <c r="AH93" s="235">
        <v>2882</v>
      </c>
      <c r="AI93" s="221">
        <v>2905</v>
      </c>
      <c r="AJ93" s="221">
        <v>2867</v>
      </c>
      <c r="AK93" s="221">
        <v>2862</v>
      </c>
      <c r="AL93" s="221">
        <v>2845</v>
      </c>
      <c r="AM93" s="221">
        <v>2862</v>
      </c>
      <c r="AN93" s="221">
        <v>2886</v>
      </c>
      <c r="AO93" s="221"/>
      <c r="AP93" s="221"/>
      <c r="AQ93" s="221"/>
      <c r="AR93" s="221"/>
      <c r="AS93" s="223"/>
      <c r="AT93" s="137">
        <f t="shared" ref="AT93:AY93" si="74">IFERROR((((V93*AH93)+(V100*AH100)+(V107*AH107))/SUM(AH93:AH113)),0)</f>
        <v>25.489065691205607</v>
      </c>
      <c r="AU93" s="140">
        <f t="shared" si="74"/>
        <v>25.549026819923377</v>
      </c>
      <c r="AV93" s="140">
        <f t="shared" si="74"/>
        <v>30.227573439412481</v>
      </c>
      <c r="AW93" s="140">
        <f t="shared" si="74"/>
        <v>26.985431682257321</v>
      </c>
      <c r="AX93" s="140">
        <f t="shared" si="74"/>
        <v>32.183584993052335</v>
      </c>
      <c r="AY93" s="140">
        <f t="shared" si="74"/>
        <v>32.628486012911161</v>
      </c>
      <c r="AZ93" s="140">
        <f t="shared" ref="AZ93:BD93" si="75">IFERROR((((AB93*AN93)+(AB100*AN100)+(AB107*AN107))/SUM(AN93:AN113)),0)</f>
        <v>33.497438468550598</v>
      </c>
      <c r="BA93" s="140">
        <f t="shared" si="75"/>
        <v>0</v>
      </c>
      <c r="BB93" s="140">
        <f t="shared" si="75"/>
        <v>0</v>
      </c>
      <c r="BC93" s="140">
        <f t="shared" si="75"/>
        <v>0</v>
      </c>
      <c r="BD93" s="140">
        <f t="shared" si="75"/>
        <v>0</v>
      </c>
      <c r="BE93" s="143">
        <f>IFERROR((((AG93*AS93)+(AG100*AS100)+(AG107*AS107))/SUM(AS93:AS113)),0)</f>
        <v>0</v>
      </c>
      <c r="BF93" s="264">
        <f>SUM(AH93:AH113)</f>
        <v>6561</v>
      </c>
      <c r="BG93" s="264">
        <f t="shared" ref="BG93:BQ93" si="76">SUM(AI93:AI113)</f>
        <v>6525</v>
      </c>
      <c r="BH93" s="264">
        <f t="shared" si="76"/>
        <v>6536</v>
      </c>
      <c r="BI93" s="264">
        <f t="shared" si="76"/>
        <v>6521</v>
      </c>
      <c r="BJ93" s="264">
        <f t="shared" si="76"/>
        <v>6477</v>
      </c>
      <c r="BK93" s="264">
        <f t="shared" si="76"/>
        <v>6506</v>
      </c>
      <c r="BL93" s="264">
        <f t="shared" si="76"/>
        <v>6582</v>
      </c>
      <c r="BM93" s="264">
        <f t="shared" si="76"/>
        <v>0</v>
      </c>
      <c r="BN93" s="264">
        <f t="shared" si="76"/>
        <v>0</v>
      </c>
      <c r="BO93" s="264">
        <f t="shared" si="76"/>
        <v>0</v>
      </c>
      <c r="BP93" s="264">
        <f t="shared" si="76"/>
        <v>0</v>
      </c>
      <c r="BQ93" s="266">
        <f t="shared" si="76"/>
        <v>0</v>
      </c>
      <c r="BR93" s="252">
        <f>IFERROR(((AT93*BF93)+(AU93*BG93)+(AV93*BH93)+(AW93*BI93)+(AX93*BJ93)+(AY93*BK93)+(AZ93*BL93)+(BA93*BM93)+(BB93*BN93)+(BC93*BO93)+(BD93*BP93)+(BE93*BQ93))/SUM(BF93:BQ113),0)</f>
        <v>29.506754397479657</v>
      </c>
      <c r="BS93" s="179">
        <f>BR93</f>
        <v>29.506754397479657</v>
      </c>
      <c r="BT93" s="156"/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  <c r="CE93" s="162"/>
      <c r="CF93" s="120"/>
      <c r="CG93" s="120"/>
      <c r="CH93" s="120"/>
      <c r="CI93" s="120"/>
      <c r="CJ93" s="120"/>
      <c r="CK93" s="120"/>
      <c r="CL93" s="120"/>
      <c r="CM93" s="120"/>
      <c r="CN93" s="120"/>
      <c r="CO93" s="120"/>
      <c r="CP93" s="120"/>
      <c r="CQ93" s="120"/>
      <c r="CR93" s="329"/>
      <c r="CS93" s="138"/>
      <c r="CT93" s="141"/>
      <c r="CU93" s="141"/>
      <c r="CV93" s="141"/>
      <c r="CW93" s="141"/>
      <c r="CX93" s="141"/>
      <c r="CY93" s="141"/>
      <c r="CZ93" s="141"/>
      <c r="DA93" s="141"/>
      <c r="DB93" s="141"/>
      <c r="DC93" s="141"/>
      <c r="DD93" s="144"/>
      <c r="DE93" s="106"/>
      <c r="DF93" s="106"/>
      <c r="DG93" s="106"/>
      <c r="DH93" s="106"/>
      <c r="DI93" s="106"/>
      <c r="DJ93" s="106"/>
      <c r="DK93" s="106"/>
      <c r="DL93" s="106"/>
      <c r="DM93" s="106"/>
      <c r="DN93" s="106"/>
      <c r="DO93" s="106"/>
      <c r="DP93" s="109"/>
      <c r="DQ93" s="132"/>
      <c r="DS93" s="114"/>
      <c r="DT93" s="117"/>
    </row>
    <row r="94" spans="1:124" ht="20.25" customHeight="1">
      <c r="A94" s="128"/>
      <c r="B94" s="254"/>
      <c r="C94" s="269"/>
      <c r="D94" s="272"/>
      <c r="E94" s="237"/>
      <c r="F94" s="2" t="s">
        <v>203</v>
      </c>
      <c r="G94" s="3" t="s">
        <v>223</v>
      </c>
      <c r="H94" s="67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9"/>
      <c r="T94" s="186"/>
      <c r="U94" s="322"/>
      <c r="V94" s="138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4"/>
      <c r="AH94" s="23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4"/>
      <c r="AT94" s="138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  <c r="BE94" s="14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5"/>
      <c r="BR94" s="202"/>
      <c r="BS94" s="180"/>
      <c r="BT94" s="156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62"/>
      <c r="CF94" s="120"/>
      <c r="CG94" s="120"/>
      <c r="CH94" s="120"/>
      <c r="CI94" s="120"/>
      <c r="CJ94" s="120"/>
      <c r="CK94" s="120"/>
      <c r="CL94" s="120"/>
      <c r="CM94" s="120"/>
      <c r="CN94" s="120"/>
      <c r="CO94" s="120"/>
      <c r="CP94" s="120"/>
      <c r="CQ94" s="120"/>
      <c r="CR94" s="329"/>
      <c r="CS94" s="138"/>
      <c r="CT94" s="141"/>
      <c r="CU94" s="141"/>
      <c r="CV94" s="141"/>
      <c r="CW94" s="141"/>
      <c r="CX94" s="141"/>
      <c r="CY94" s="141"/>
      <c r="CZ94" s="141"/>
      <c r="DA94" s="141"/>
      <c r="DB94" s="141"/>
      <c r="DC94" s="141"/>
      <c r="DD94" s="144"/>
      <c r="DE94" s="106"/>
      <c r="DF94" s="106"/>
      <c r="DG94" s="106"/>
      <c r="DH94" s="106"/>
      <c r="DI94" s="106"/>
      <c r="DJ94" s="106"/>
      <c r="DK94" s="106"/>
      <c r="DL94" s="106"/>
      <c r="DM94" s="106"/>
      <c r="DN94" s="106"/>
      <c r="DO94" s="106"/>
      <c r="DP94" s="109"/>
      <c r="DQ94" s="132"/>
      <c r="DS94" s="114"/>
      <c r="DT94" s="117"/>
    </row>
    <row r="95" spans="1:124" ht="20.25" customHeight="1">
      <c r="A95" s="128"/>
      <c r="B95" s="254"/>
      <c r="C95" s="269"/>
      <c r="D95" s="272"/>
      <c r="E95" s="237"/>
      <c r="F95" s="2" t="s">
        <v>204</v>
      </c>
      <c r="G95" s="3" t="s">
        <v>224</v>
      </c>
      <c r="H95" s="67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9"/>
      <c r="T95" s="186"/>
      <c r="U95" s="322"/>
      <c r="V95" s="138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4"/>
      <c r="AH95" s="23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4"/>
      <c r="AT95" s="138"/>
      <c r="AU95" s="141"/>
      <c r="AV95" s="141"/>
      <c r="AW95" s="141"/>
      <c r="AX95" s="141"/>
      <c r="AY95" s="141"/>
      <c r="AZ95" s="141"/>
      <c r="BA95" s="141"/>
      <c r="BB95" s="141"/>
      <c r="BC95" s="141"/>
      <c r="BD95" s="141"/>
      <c r="BE95" s="14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5"/>
      <c r="BR95" s="202"/>
      <c r="BS95" s="180"/>
      <c r="BT95" s="156"/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  <c r="CE95" s="162"/>
      <c r="CF95" s="120"/>
      <c r="CG95" s="120"/>
      <c r="CH95" s="120"/>
      <c r="CI95" s="120"/>
      <c r="CJ95" s="120"/>
      <c r="CK95" s="120"/>
      <c r="CL95" s="120"/>
      <c r="CM95" s="120"/>
      <c r="CN95" s="120"/>
      <c r="CO95" s="120"/>
      <c r="CP95" s="120"/>
      <c r="CQ95" s="120"/>
      <c r="CR95" s="329"/>
      <c r="CS95" s="138"/>
      <c r="CT95" s="141"/>
      <c r="CU95" s="141"/>
      <c r="CV95" s="141"/>
      <c r="CW95" s="141"/>
      <c r="CX95" s="141"/>
      <c r="CY95" s="141"/>
      <c r="CZ95" s="141"/>
      <c r="DA95" s="141"/>
      <c r="DB95" s="141"/>
      <c r="DC95" s="141"/>
      <c r="DD95" s="144"/>
      <c r="DE95" s="106"/>
      <c r="DF95" s="106"/>
      <c r="DG95" s="106"/>
      <c r="DH95" s="106"/>
      <c r="DI95" s="106"/>
      <c r="DJ95" s="106"/>
      <c r="DK95" s="106"/>
      <c r="DL95" s="106"/>
      <c r="DM95" s="106"/>
      <c r="DN95" s="106"/>
      <c r="DO95" s="106"/>
      <c r="DP95" s="109"/>
      <c r="DQ95" s="132"/>
      <c r="DS95" s="114"/>
      <c r="DT95" s="117"/>
    </row>
    <row r="96" spans="1:124" ht="20.25" customHeight="1">
      <c r="A96" s="128"/>
      <c r="B96" s="254"/>
      <c r="C96" s="269"/>
      <c r="D96" s="272"/>
      <c r="E96" s="237"/>
      <c r="F96" s="2" t="s">
        <v>205</v>
      </c>
      <c r="G96" s="3" t="s">
        <v>225</v>
      </c>
      <c r="H96" s="67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9"/>
      <c r="T96" s="186"/>
      <c r="U96" s="322"/>
      <c r="V96" s="138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4"/>
      <c r="AH96" s="23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4"/>
      <c r="AT96" s="138"/>
      <c r="AU96" s="141"/>
      <c r="AV96" s="141"/>
      <c r="AW96" s="141"/>
      <c r="AX96" s="141"/>
      <c r="AY96" s="141"/>
      <c r="AZ96" s="141"/>
      <c r="BA96" s="141"/>
      <c r="BB96" s="141"/>
      <c r="BC96" s="141"/>
      <c r="BD96" s="141"/>
      <c r="BE96" s="14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5"/>
      <c r="BR96" s="202"/>
      <c r="BS96" s="180"/>
      <c r="BT96" s="156"/>
      <c r="BU96" s="159"/>
      <c r="BV96" s="159"/>
      <c r="BW96" s="159"/>
      <c r="BX96" s="159"/>
      <c r="BY96" s="159"/>
      <c r="BZ96" s="159"/>
      <c r="CA96" s="159"/>
      <c r="CB96" s="159"/>
      <c r="CC96" s="159"/>
      <c r="CD96" s="159"/>
      <c r="CE96" s="162"/>
      <c r="CF96" s="120"/>
      <c r="CG96" s="120"/>
      <c r="CH96" s="120"/>
      <c r="CI96" s="120"/>
      <c r="CJ96" s="120"/>
      <c r="CK96" s="120"/>
      <c r="CL96" s="120"/>
      <c r="CM96" s="120"/>
      <c r="CN96" s="120"/>
      <c r="CO96" s="120"/>
      <c r="CP96" s="120"/>
      <c r="CQ96" s="120"/>
      <c r="CR96" s="329"/>
      <c r="CS96" s="138"/>
      <c r="CT96" s="141"/>
      <c r="CU96" s="141"/>
      <c r="CV96" s="141"/>
      <c r="CW96" s="141"/>
      <c r="CX96" s="141"/>
      <c r="CY96" s="141"/>
      <c r="CZ96" s="141"/>
      <c r="DA96" s="141"/>
      <c r="DB96" s="141"/>
      <c r="DC96" s="141"/>
      <c r="DD96" s="144"/>
      <c r="DE96" s="106"/>
      <c r="DF96" s="106"/>
      <c r="DG96" s="106"/>
      <c r="DH96" s="106"/>
      <c r="DI96" s="106"/>
      <c r="DJ96" s="106"/>
      <c r="DK96" s="106"/>
      <c r="DL96" s="106"/>
      <c r="DM96" s="106"/>
      <c r="DN96" s="106"/>
      <c r="DO96" s="106"/>
      <c r="DP96" s="109"/>
      <c r="DQ96" s="132"/>
      <c r="DS96" s="114"/>
      <c r="DT96" s="117"/>
    </row>
    <row r="97" spans="1:124" ht="20.25" customHeight="1">
      <c r="A97" s="128"/>
      <c r="B97" s="254"/>
      <c r="C97" s="269"/>
      <c r="D97" s="272"/>
      <c r="E97" s="237"/>
      <c r="F97" s="76" t="s">
        <v>271</v>
      </c>
      <c r="G97" s="77" t="s">
        <v>275</v>
      </c>
      <c r="H97" s="67">
        <v>30.98</v>
      </c>
      <c r="I97" s="68">
        <v>30.98</v>
      </c>
      <c r="J97" s="68">
        <v>22.14</v>
      </c>
      <c r="K97" s="68">
        <v>27.16</v>
      </c>
      <c r="L97" s="68">
        <v>33.58</v>
      </c>
      <c r="M97" s="68">
        <v>31.28</v>
      </c>
      <c r="N97" s="68">
        <v>31.09</v>
      </c>
      <c r="O97" s="68"/>
      <c r="P97" s="68"/>
      <c r="Q97" s="68"/>
      <c r="R97" s="68"/>
      <c r="S97" s="69"/>
      <c r="T97" s="186"/>
      <c r="U97" s="322"/>
      <c r="V97" s="138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4"/>
      <c r="AH97" s="23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4"/>
      <c r="AT97" s="138"/>
      <c r="AU97" s="141"/>
      <c r="AV97" s="141"/>
      <c r="AW97" s="141"/>
      <c r="AX97" s="141"/>
      <c r="AY97" s="141"/>
      <c r="AZ97" s="141"/>
      <c r="BA97" s="141"/>
      <c r="BB97" s="141"/>
      <c r="BC97" s="141"/>
      <c r="BD97" s="141"/>
      <c r="BE97" s="14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5"/>
      <c r="BR97" s="202"/>
      <c r="BS97" s="180"/>
      <c r="BT97" s="156"/>
      <c r="BU97" s="159"/>
      <c r="BV97" s="159"/>
      <c r="BW97" s="159"/>
      <c r="BX97" s="159"/>
      <c r="BY97" s="159"/>
      <c r="BZ97" s="159"/>
      <c r="CA97" s="159"/>
      <c r="CB97" s="159"/>
      <c r="CC97" s="159"/>
      <c r="CD97" s="159"/>
      <c r="CE97" s="162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0"/>
      <c r="CQ97" s="120"/>
      <c r="CR97" s="329"/>
      <c r="CS97" s="138"/>
      <c r="CT97" s="141"/>
      <c r="CU97" s="141"/>
      <c r="CV97" s="141"/>
      <c r="CW97" s="141"/>
      <c r="CX97" s="141"/>
      <c r="CY97" s="141"/>
      <c r="CZ97" s="141"/>
      <c r="DA97" s="141"/>
      <c r="DB97" s="141"/>
      <c r="DC97" s="141"/>
      <c r="DD97" s="144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DO97" s="106"/>
      <c r="DP97" s="109"/>
      <c r="DQ97" s="132"/>
      <c r="DS97" s="114"/>
      <c r="DT97" s="117"/>
    </row>
    <row r="98" spans="1:124" ht="20.25" customHeight="1">
      <c r="A98" s="128"/>
      <c r="B98" s="254"/>
      <c r="C98" s="269"/>
      <c r="D98" s="272"/>
      <c r="E98" s="237"/>
      <c r="F98" s="2" t="s">
        <v>206</v>
      </c>
      <c r="G98" s="3" t="s">
        <v>226</v>
      </c>
      <c r="H98" s="67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9"/>
      <c r="T98" s="186"/>
      <c r="U98" s="322"/>
      <c r="V98" s="138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4"/>
      <c r="AH98" s="23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4"/>
      <c r="AT98" s="138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  <c r="BE98" s="14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5"/>
      <c r="BR98" s="202"/>
      <c r="BS98" s="180"/>
      <c r="BT98" s="156"/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  <c r="CE98" s="162"/>
      <c r="CF98" s="120"/>
      <c r="CG98" s="120"/>
      <c r="CH98" s="120"/>
      <c r="CI98" s="120"/>
      <c r="CJ98" s="120"/>
      <c r="CK98" s="120"/>
      <c r="CL98" s="120"/>
      <c r="CM98" s="120"/>
      <c r="CN98" s="120"/>
      <c r="CO98" s="120"/>
      <c r="CP98" s="120"/>
      <c r="CQ98" s="120"/>
      <c r="CR98" s="329"/>
      <c r="CS98" s="138"/>
      <c r="CT98" s="141"/>
      <c r="CU98" s="141"/>
      <c r="CV98" s="141"/>
      <c r="CW98" s="141"/>
      <c r="CX98" s="141"/>
      <c r="CY98" s="141"/>
      <c r="CZ98" s="141"/>
      <c r="DA98" s="141"/>
      <c r="DB98" s="141"/>
      <c r="DC98" s="141"/>
      <c r="DD98" s="144"/>
      <c r="DE98" s="106"/>
      <c r="DF98" s="106"/>
      <c r="DG98" s="106"/>
      <c r="DH98" s="106"/>
      <c r="DI98" s="106"/>
      <c r="DJ98" s="106"/>
      <c r="DK98" s="106"/>
      <c r="DL98" s="106"/>
      <c r="DM98" s="106"/>
      <c r="DN98" s="106"/>
      <c r="DO98" s="106"/>
      <c r="DP98" s="109"/>
      <c r="DQ98" s="132"/>
      <c r="DS98" s="114"/>
      <c r="DT98" s="117"/>
    </row>
    <row r="99" spans="1:124" ht="20.25" customHeight="1">
      <c r="A99" s="128"/>
      <c r="B99" s="254"/>
      <c r="C99" s="269"/>
      <c r="D99" s="272"/>
      <c r="E99" s="238"/>
      <c r="F99" s="2" t="s">
        <v>207</v>
      </c>
      <c r="G99" s="3" t="s">
        <v>227</v>
      </c>
      <c r="H99" s="67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9"/>
      <c r="T99" s="186"/>
      <c r="U99" s="322"/>
      <c r="V99" s="138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4"/>
      <c r="AH99" s="234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5"/>
      <c r="AT99" s="138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5"/>
      <c r="BR99" s="202"/>
      <c r="BS99" s="180"/>
      <c r="BT99" s="156"/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  <c r="CE99" s="162"/>
      <c r="CF99" s="120"/>
      <c r="CG99" s="120"/>
      <c r="CH99" s="120"/>
      <c r="CI99" s="120"/>
      <c r="CJ99" s="120"/>
      <c r="CK99" s="120"/>
      <c r="CL99" s="120"/>
      <c r="CM99" s="120"/>
      <c r="CN99" s="120"/>
      <c r="CO99" s="120"/>
      <c r="CP99" s="120"/>
      <c r="CQ99" s="120"/>
      <c r="CR99" s="329"/>
      <c r="CS99" s="138"/>
      <c r="CT99" s="141"/>
      <c r="CU99" s="141"/>
      <c r="CV99" s="141"/>
      <c r="CW99" s="141"/>
      <c r="CX99" s="141"/>
      <c r="CY99" s="141"/>
      <c r="CZ99" s="141"/>
      <c r="DA99" s="141"/>
      <c r="DB99" s="141"/>
      <c r="DC99" s="141"/>
      <c r="DD99" s="144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DO99" s="106"/>
      <c r="DP99" s="109"/>
      <c r="DQ99" s="132"/>
      <c r="DS99" s="114"/>
      <c r="DT99" s="117"/>
    </row>
    <row r="100" spans="1:124" ht="20.25" customHeight="1">
      <c r="A100" s="128"/>
      <c r="B100" s="254"/>
      <c r="C100" s="269"/>
      <c r="D100" s="272"/>
      <c r="E100" s="239" t="s">
        <v>5</v>
      </c>
      <c r="F100" s="2" t="s">
        <v>208</v>
      </c>
      <c r="G100" s="3" t="s">
        <v>228</v>
      </c>
      <c r="H100" s="67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9"/>
      <c r="T100" s="186"/>
      <c r="U100" s="322"/>
      <c r="V100" s="138">
        <f>IFERROR((SUM(H100:H106)/COUNTIF(H100:H106,"&gt;0")),0)</f>
        <v>21.07</v>
      </c>
      <c r="W100" s="141">
        <f t="shared" ref="W100:AG100" si="77">IFERROR((SUM(I100:I106)/COUNTIF(I100:I106,"&gt;0")),0)</f>
        <v>21.07</v>
      </c>
      <c r="X100" s="141">
        <f t="shared" si="77"/>
        <v>38.659999999999997</v>
      </c>
      <c r="Y100" s="141">
        <f>IFERROR((SUM(K100:K106)/COUNTIF(K100:K106,"&gt;0")),0)</f>
        <v>28.58</v>
      </c>
      <c r="Z100" s="141">
        <f t="shared" si="77"/>
        <v>34.39</v>
      </c>
      <c r="AA100" s="141">
        <f t="shared" si="77"/>
        <v>37.58</v>
      </c>
      <c r="AB100" s="141">
        <f t="shared" si="77"/>
        <v>38.4</v>
      </c>
      <c r="AC100" s="141">
        <f t="shared" si="77"/>
        <v>0</v>
      </c>
      <c r="AD100" s="141">
        <f t="shared" si="77"/>
        <v>0</v>
      </c>
      <c r="AE100" s="141">
        <f t="shared" si="77"/>
        <v>0</v>
      </c>
      <c r="AF100" s="141">
        <f t="shared" si="77"/>
        <v>0</v>
      </c>
      <c r="AG100" s="144">
        <f t="shared" si="77"/>
        <v>0</v>
      </c>
      <c r="AH100" s="231">
        <v>2758</v>
      </c>
      <c r="AI100" s="219">
        <v>2690</v>
      </c>
      <c r="AJ100" s="219">
        <v>2744</v>
      </c>
      <c r="AK100" s="219">
        <v>2737</v>
      </c>
      <c r="AL100" s="219">
        <v>2717</v>
      </c>
      <c r="AM100" s="219">
        <v>2709</v>
      </c>
      <c r="AN100" s="219">
        <v>2746</v>
      </c>
      <c r="AO100" s="219"/>
      <c r="AP100" s="219"/>
      <c r="AQ100" s="219"/>
      <c r="AR100" s="219"/>
      <c r="AS100" s="226"/>
      <c r="AT100" s="138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5"/>
      <c r="BR100" s="202"/>
      <c r="BS100" s="180"/>
      <c r="BT100" s="156"/>
      <c r="BU100" s="159"/>
      <c r="BV100" s="159"/>
      <c r="BW100" s="159"/>
      <c r="BX100" s="159"/>
      <c r="BY100" s="159"/>
      <c r="BZ100" s="159"/>
      <c r="CA100" s="159"/>
      <c r="CB100" s="159"/>
      <c r="CC100" s="159"/>
      <c r="CD100" s="159"/>
      <c r="CE100" s="162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0"/>
      <c r="CQ100" s="120"/>
      <c r="CR100" s="329"/>
      <c r="CS100" s="138"/>
      <c r="CT100" s="141"/>
      <c r="CU100" s="141"/>
      <c r="CV100" s="141"/>
      <c r="CW100" s="141"/>
      <c r="CX100" s="141"/>
      <c r="CY100" s="141"/>
      <c r="CZ100" s="141"/>
      <c r="DA100" s="141"/>
      <c r="DB100" s="141"/>
      <c r="DC100" s="141"/>
      <c r="DD100" s="144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9"/>
      <c r="DQ100" s="132"/>
      <c r="DS100" s="114"/>
      <c r="DT100" s="117"/>
    </row>
    <row r="101" spans="1:124" ht="20.25" customHeight="1">
      <c r="A101" s="128"/>
      <c r="B101" s="254"/>
      <c r="C101" s="269"/>
      <c r="D101" s="272"/>
      <c r="E101" s="240"/>
      <c r="F101" s="2" t="s">
        <v>209</v>
      </c>
      <c r="G101" s="3" t="s">
        <v>229</v>
      </c>
      <c r="H101" s="67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9"/>
      <c r="T101" s="186"/>
      <c r="U101" s="322"/>
      <c r="V101" s="138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4"/>
      <c r="AH101" s="23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4"/>
      <c r="AT101" s="138"/>
      <c r="AU101" s="141"/>
      <c r="AV101" s="141"/>
      <c r="AW101" s="141"/>
      <c r="AX101" s="141"/>
      <c r="AY101" s="141"/>
      <c r="AZ101" s="141"/>
      <c r="BA101" s="141"/>
      <c r="BB101" s="141"/>
      <c r="BC101" s="141"/>
      <c r="BD101" s="141"/>
      <c r="BE101" s="14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5"/>
      <c r="BR101" s="202"/>
      <c r="BS101" s="180"/>
      <c r="BT101" s="156"/>
      <c r="BU101" s="159"/>
      <c r="BV101" s="159"/>
      <c r="BW101" s="159"/>
      <c r="BX101" s="159"/>
      <c r="BY101" s="159"/>
      <c r="BZ101" s="159"/>
      <c r="CA101" s="159"/>
      <c r="CB101" s="159"/>
      <c r="CC101" s="159"/>
      <c r="CD101" s="159"/>
      <c r="CE101" s="162"/>
      <c r="CF101" s="120"/>
      <c r="CG101" s="120"/>
      <c r="CH101" s="120"/>
      <c r="CI101" s="120"/>
      <c r="CJ101" s="120"/>
      <c r="CK101" s="120"/>
      <c r="CL101" s="120"/>
      <c r="CM101" s="120"/>
      <c r="CN101" s="120"/>
      <c r="CO101" s="120"/>
      <c r="CP101" s="120"/>
      <c r="CQ101" s="120"/>
      <c r="CR101" s="329"/>
      <c r="CS101" s="138"/>
      <c r="CT101" s="141"/>
      <c r="CU101" s="141"/>
      <c r="CV101" s="141"/>
      <c r="CW101" s="141"/>
      <c r="CX101" s="141"/>
      <c r="CY101" s="141"/>
      <c r="CZ101" s="141"/>
      <c r="DA101" s="141"/>
      <c r="DB101" s="141"/>
      <c r="DC101" s="141"/>
      <c r="DD101" s="144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  <c r="DO101" s="106"/>
      <c r="DP101" s="109"/>
      <c r="DQ101" s="132"/>
      <c r="DS101" s="114"/>
      <c r="DT101" s="117"/>
    </row>
    <row r="102" spans="1:124" ht="20.25" customHeight="1">
      <c r="A102" s="128"/>
      <c r="B102" s="254"/>
      <c r="C102" s="269"/>
      <c r="D102" s="272"/>
      <c r="E102" s="240"/>
      <c r="F102" s="101" t="s">
        <v>210</v>
      </c>
      <c r="G102" s="102" t="s">
        <v>230</v>
      </c>
      <c r="H102" s="67">
        <v>21.07</v>
      </c>
      <c r="I102" s="68">
        <v>21.07</v>
      </c>
      <c r="J102" s="68">
        <v>38.659999999999997</v>
      </c>
      <c r="K102" s="68">
        <v>28.58</v>
      </c>
      <c r="L102" s="68">
        <v>34.39</v>
      </c>
      <c r="M102" s="68">
        <v>37.58</v>
      </c>
      <c r="N102" s="68">
        <v>38.4</v>
      </c>
      <c r="O102" s="68"/>
      <c r="P102" s="68"/>
      <c r="Q102" s="68"/>
      <c r="R102" s="68"/>
      <c r="S102" s="69"/>
      <c r="T102" s="186"/>
      <c r="U102" s="322"/>
      <c r="V102" s="138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4"/>
      <c r="AH102" s="23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4"/>
      <c r="AT102" s="138"/>
      <c r="AU102" s="141"/>
      <c r="AV102" s="141"/>
      <c r="AW102" s="141"/>
      <c r="AX102" s="141"/>
      <c r="AY102" s="141"/>
      <c r="AZ102" s="141"/>
      <c r="BA102" s="141"/>
      <c r="BB102" s="141"/>
      <c r="BC102" s="141"/>
      <c r="BD102" s="141"/>
      <c r="BE102" s="14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5"/>
      <c r="BR102" s="202"/>
      <c r="BS102" s="180"/>
      <c r="BT102" s="156"/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  <c r="CE102" s="162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329"/>
      <c r="CS102" s="138"/>
      <c r="CT102" s="141"/>
      <c r="CU102" s="141"/>
      <c r="CV102" s="141"/>
      <c r="CW102" s="141"/>
      <c r="CX102" s="141"/>
      <c r="CY102" s="141"/>
      <c r="CZ102" s="141"/>
      <c r="DA102" s="141"/>
      <c r="DB102" s="141"/>
      <c r="DC102" s="141"/>
      <c r="DD102" s="144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9"/>
      <c r="DQ102" s="132"/>
      <c r="DS102" s="114"/>
      <c r="DT102" s="117"/>
    </row>
    <row r="103" spans="1:124" ht="20.25" customHeight="1">
      <c r="A103" s="128"/>
      <c r="B103" s="254"/>
      <c r="C103" s="269"/>
      <c r="D103" s="272"/>
      <c r="E103" s="240"/>
      <c r="F103" s="2" t="s">
        <v>211</v>
      </c>
      <c r="G103" s="3" t="s">
        <v>231</v>
      </c>
      <c r="H103" s="67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9"/>
      <c r="T103" s="186"/>
      <c r="U103" s="322"/>
      <c r="V103" s="138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4"/>
      <c r="AH103" s="23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4"/>
      <c r="AT103" s="138"/>
      <c r="AU103" s="141"/>
      <c r="AV103" s="141"/>
      <c r="AW103" s="141"/>
      <c r="AX103" s="141"/>
      <c r="AY103" s="141"/>
      <c r="AZ103" s="141"/>
      <c r="BA103" s="141"/>
      <c r="BB103" s="141"/>
      <c r="BC103" s="141"/>
      <c r="BD103" s="141"/>
      <c r="BE103" s="14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5"/>
      <c r="BR103" s="202"/>
      <c r="BS103" s="180"/>
      <c r="BT103" s="156"/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  <c r="CE103" s="162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0"/>
      <c r="CQ103" s="120"/>
      <c r="CR103" s="329"/>
      <c r="CS103" s="138"/>
      <c r="CT103" s="141"/>
      <c r="CU103" s="141"/>
      <c r="CV103" s="141"/>
      <c r="CW103" s="141"/>
      <c r="CX103" s="141"/>
      <c r="CY103" s="141"/>
      <c r="CZ103" s="141"/>
      <c r="DA103" s="141"/>
      <c r="DB103" s="141"/>
      <c r="DC103" s="141"/>
      <c r="DD103" s="144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DO103" s="106"/>
      <c r="DP103" s="109"/>
      <c r="DQ103" s="132"/>
      <c r="DS103" s="114"/>
      <c r="DT103" s="117"/>
    </row>
    <row r="104" spans="1:124" ht="20.25" customHeight="1">
      <c r="A104" s="128"/>
      <c r="B104" s="254"/>
      <c r="C104" s="269"/>
      <c r="D104" s="272"/>
      <c r="E104" s="240"/>
      <c r="F104" s="2" t="s">
        <v>212</v>
      </c>
      <c r="G104" s="3" t="s">
        <v>232</v>
      </c>
      <c r="H104" s="93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9"/>
      <c r="T104" s="186"/>
      <c r="U104" s="322"/>
      <c r="V104" s="138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23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4"/>
      <c r="AT104" s="138"/>
      <c r="AU104" s="141"/>
      <c r="AV104" s="141"/>
      <c r="AW104" s="141"/>
      <c r="AX104" s="141"/>
      <c r="AY104" s="141"/>
      <c r="AZ104" s="141"/>
      <c r="BA104" s="141"/>
      <c r="BB104" s="141"/>
      <c r="BC104" s="141"/>
      <c r="BD104" s="141"/>
      <c r="BE104" s="14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5"/>
      <c r="BR104" s="202"/>
      <c r="BS104" s="180"/>
      <c r="BT104" s="156"/>
      <c r="BU104" s="159"/>
      <c r="BV104" s="159"/>
      <c r="BW104" s="159"/>
      <c r="BX104" s="159"/>
      <c r="BY104" s="159"/>
      <c r="BZ104" s="159"/>
      <c r="CA104" s="159"/>
      <c r="CB104" s="159"/>
      <c r="CC104" s="159"/>
      <c r="CD104" s="159"/>
      <c r="CE104" s="162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0"/>
      <c r="CR104" s="329"/>
      <c r="CS104" s="138"/>
      <c r="CT104" s="141"/>
      <c r="CU104" s="141"/>
      <c r="CV104" s="141"/>
      <c r="CW104" s="141"/>
      <c r="CX104" s="141"/>
      <c r="CY104" s="141"/>
      <c r="CZ104" s="141"/>
      <c r="DA104" s="141"/>
      <c r="DB104" s="141"/>
      <c r="DC104" s="141"/>
      <c r="DD104" s="144"/>
      <c r="DE104" s="106"/>
      <c r="DF104" s="106"/>
      <c r="DG104" s="106"/>
      <c r="DH104" s="106"/>
      <c r="DI104" s="106"/>
      <c r="DJ104" s="106"/>
      <c r="DK104" s="106"/>
      <c r="DL104" s="106"/>
      <c r="DM104" s="106"/>
      <c r="DN104" s="106"/>
      <c r="DO104" s="106"/>
      <c r="DP104" s="109"/>
      <c r="DQ104" s="132"/>
      <c r="DS104" s="114"/>
      <c r="DT104" s="117"/>
    </row>
    <row r="105" spans="1:124" ht="20.25" customHeight="1">
      <c r="A105" s="128"/>
      <c r="B105" s="254"/>
      <c r="C105" s="269"/>
      <c r="D105" s="272"/>
      <c r="E105" s="240"/>
      <c r="F105" s="2" t="s">
        <v>213</v>
      </c>
      <c r="G105" s="3" t="s">
        <v>233</v>
      </c>
      <c r="H105" s="93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9"/>
      <c r="T105" s="186"/>
      <c r="U105" s="322"/>
      <c r="V105" s="138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4"/>
      <c r="AH105" s="23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4"/>
      <c r="AT105" s="138"/>
      <c r="AU105" s="141"/>
      <c r="AV105" s="141"/>
      <c r="AW105" s="141"/>
      <c r="AX105" s="141"/>
      <c r="AY105" s="141"/>
      <c r="AZ105" s="141"/>
      <c r="BA105" s="141"/>
      <c r="BB105" s="141"/>
      <c r="BC105" s="141"/>
      <c r="BD105" s="141"/>
      <c r="BE105" s="14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5"/>
      <c r="BR105" s="202"/>
      <c r="BS105" s="180"/>
      <c r="BT105" s="156"/>
      <c r="BU105" s="159"/>
      <c r="BV105" s="159"/>
      <c r="BW105" s="159"/>
      <c r="BX105" s="159"/>
      <c r="BY105" s="159"/>
      <c r="BZ105" s="159"/>
      <c r="CA105" s="159"/>
      <c r="CB105" s="159"/>
      <c r="CC105" s="159"/>
      <c r="CD105" s="159"/>
      <c r="CE105" s="162"/>
      <c r="CF105" s="120"/>
      <c r="CG105" s="120"/>
      <c r="CH105" s="120"/>
      <c r="CI105" s="120"/>
      <c r="CJ105" s="120"/>
      <c r="CK105" s="120"/>
      <c r="CL105" s="120"/>
      <c r="CM105" s="120"/>
      <c r="CN105" s="120"/>
      <c r="CO105" s="120"/>
      <c r="CP105" s="120"/>
      <c r="CQ105" s="120"/>
      <c r="CR105" s="329"/>
      <c r="CS105" s="138"/>
      <c r="CT105" s="141"/>
      <c r="CU105" s="141"/>
      <c r="CV105" s="141"/>
      <c r="CW105" s="141"/>
      <c r="CX105" s="141"/>
      <c r="CY105" s="141"/>
      <c r="CZ105" s="141"/>
      <c r="DA105" s="141"/>
      <c r="DB105" s="141"/>
      <c r="DC105" s="141"/>
      <c r="DD105" s="144"/>
      <c r="DE105" s="106"/>
      <c r="DF105" s="106"/>
      <c r="DG105" s="106"/>
      <c r="DH105" s="106"/>
      <c r="DI105" s="106"/>
      <c r="DJ105" s="106"/>
      <c r="DK105" s="106"/>
      <c r="DL105" s="106"/>
      <c r="DM105" s="106"/>
      <c r="DN105" s="106"/>
      <c r="DO105" s="106"/>
      <c r="DP105" s="109"/>
      <c r="DQ105" s="132"/>
      <c r="DS105" s="114"/>
      <c r="DT105" s="117"/>
    </row>
    <row r="106" spans="1:124" ht="20.25" customHeight="1">
      <c r="A106" s="128"/>
      <c r="B106" s="254"/>
      <c r="C106" s="269"/>
      <c r="D106" s="272"/>
      <c r="E106" s="241"/>
      <c r="F106" s="103" t="s">
        <v>214</v>
      </c>
      <c r="G106" s="104" t="s">
        <v>276</v>
      </c>
      <c r="H106" s="93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9"/>
      <c r="T106" s="186"/>
      <c r="U106" s="322"/>
      <c r="V106" s="138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4"/>
      <c r="AH106" s="234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5"/>
      <c r="AT106" s="138"/>
      <c r="AU106" s="141"/>
      <c r="AV106" s="141"/>
      <c r="AW106" s="141"/>
      <c r="AX106" s="141"/>
      <c r="AY106" s="141"/>
      <c r="AZ106" s="141"/>
      <c r="BA106" s="141"/>
      <c r="BB106" s="141"/>
      <c r="BC106" s="141"/>
      <c r="BD106" s="141"/>
      <c r="BE106" s="14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5"/>
      <c r="BR106" s="202"/>
      <c r="BS106" s="180"/>
      <c r="BT106" s="156"/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  <c r="CE106" s="162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0"/>
      <c r="CR106" s="329"/>
      <c r="CS106" s="138"/>
      <c r="CT106" s="141"/>
      <c r="CU106" s="141"/>
      <c r="CV106" s="141"/>
      <c r="CW106" s="141"/>
      <c r="CX106" s="141"/>
      <c r="CY106" s="141"/>
      <c r="CZ106" s="141"/>
      <c r="DA106" s="141"/>
      <c r="DB106" s="141"/>
      <c r="DC106" s="141"/>
      <c r="DD106" s="144"/>
      <c r="DE106" s="106"/>
      <c r="DF106" s="106"/>
      <c r="DG106" s="106"/>
      <c r="DH106" s="106"/>
      <c r="DI106" s="106"/>
      <c r="DJ106" s="106"/>
      <c r="DK106" s="106"/>
      <c r="DL106" s="106"/>
      <c r="DM106" s="106"/>
      <c r="DN106" s="106"/>
      <c r="DO106" s="106"/>
      <c r="DP106" s="109"/>
      <c r="DQ106" s="132"/>
      <c r="DS106" s="114"/>
      <c r="DT106" s="117"/>
    </row>
    <row r="107" spans="1:124" ht="20.25" customHeight="1">
      <c r="A107" s="128"/>
      <c r="B107" s="254"/>
      <c r="C107" s="269"/>
      <c r="D107" s="272"/>
      <c r="E107" s="242" t="s">
        <v>6</v>
      </c>
      <c r="F107" s="76" t="s">
        <v>215</v>
      </c>
      <c r="G107" s="77" t="s">
        <v>234</v>
      </c>
      <c r="H107" s="67">
        <v>21.54</v>
      </c>
      <c r="I107" s="68">
        <v>21.54</v>
      </c>
      <c r="J107" s="68">
        <v>30.28</v>
      </c>
      <c r="K107" s="68">
        <v>21.71</v>
      </c>
      <c r="L107" s="68">
        <v>21.29</v>
      </c>
      <c r="M107" s="68">
        <v>22.41</v>
      </c>
      <c r="N107" s="68">
        <v>26.64</v>
      </c>
      <c r="O107" s="68"/>
      <c r="P107" s="68"/>
      <c r="Q107" s="68"/>
      <c r="R107" s="68"/>
      <c r="S107" s="69"/>
      <c r="T107" s="186"/>
      <c r="U107" s="322"/>
      <c r="V107" s="138">
        <f>IFERROR((SUM(H107:H113)/COUNTIF(H107:H113,"&gt;0")),0)</f>
        <v>21.54</v>
      </c>
      <c r="W107" s="141">
        <f>IFERROR((SUM(I107:I113)/COUNTIF(I107:I113,"&gt;0")),0)</f>
        <v>21.54</v>
      </c>
      <c r="X107" s="141">
        <f t="shared" ref="X107:AF107" si="78">IFERROR((SUM(J107:J113)/COUNTIF(J107:J113,"&gt;0")),0)</f>
        <v>30.28</v>
      </c>
      <c r="Y107" s="141">
        <f t="shared" si="78"/>
        <v>21.71</v>
      </c>
      <c r="Z107" s="141">
        <f t="shared" si="78"/>
        <v>21.29</v>
      </c>
      <c r="AA107" s="141">
        <f t="shared" si="78"/>
        <v>22.41</v>
      </c>
      <c r="AB107" s="141">
        <f t="shared" si="78"/>
        <v>26.64</v>
      </c>
      <c r="AC107" s="141">
        <f t="shared" si="78"/>
        <v>0</v>
      </c>
      <c r="AD107" s="141">
        <f t="shared" si="78"/>
        <v>0</v>
      </c>
      <c r="AE107" s="141">
        <f t="shared" si="78"/>
        <v>0</v>
      </c>
      <c r="AF107" s="141">
        <f t="shared" si="78"/>
        <v>0</v>
      </c>
      <c r="AG107" s="144">
        <f t="shared" ref="AG107" si="79">IFERROR((SUM(S107:S113)/COUNTIF(S107:S113,"&gt;0")),0)</f>
        <v>0</v>
      </c>
      <c r="AH107" s="231">
        <v>921</v>
      </c>
      <c r="AI107" s="219">
        <v>930</v>
      </c>
      <c r="AJ107" s="219">
        <v>925</v>
      </c>
      <c r="AK107" s="219">
        <v>922</v>
      </c>
      <c r="AL107" s="219">
        <v>915</v>
      </c>
      <c r="AM107" s="219">
        <v>935</v>
      </c>
      <c r="AN107" s="219">
        <v>950</v>
      </c>
      <c r="AO107" s="219"/>
      <c r="AP107" s="219"/>
      <c r="AQ107" s="219"/>
      <c r="AR107" s="219"/>
      <c r="AS107" s="226"/>
      <c r="AT107" s="138"/>
      <c r="AU107" s="141"/>
      <c r="AV107" s="141"/>
      <c r="AW107" s="141"/>
      <c r="AX107" s="141"/>
      <c r="AY107" s="141"/>
      <c r="AZ107" s="141"/>
      <c r="BA107" s="141"/>
      <c r="BB107" s="141"/>
      <c r="BC107" s="141"/>
      <c r="BD107" s="141"/>
      <c r="BE107" s="14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5"/>
      <c r="BR107" s="202"/>
      <c r="BS107" s="180"/>
      <c r="BT107" s="156"/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  <c r="CE107" s="162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0"/>
      <c r="CR107" s="329"/>
      <c r="CS107" s="138"/>
      <c r="CT107" s="141"/>
      <c r="CU107" s="141"/>
      <c r="CV107" s="141"/>
      <c r="CW107" s="141"/>
      <c r="CX107" s="141"/>
      <c r="CY107" s="141"/>
      <c r="CZ107" s="141"/>
      <c r="DA107" s="141"/>
      <c r="DB107" s="141"/>
      <c r="DC107" s="141"/>
      <c r="DD107" s="144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06"/>
      <c r="DP107" s="109"/>
      <c r="DQ107" s="132"/>
      <c r="DS107" s="114"/>
      <c r="DT107" s="117"/>
    </row>
    <row r="108" spans="1:124" ht="20.25" customHeight="1">
      <c r="A108" s="128"/>
      <c r="B108" s="254"/>
      <c r="C108" s="269"/>
      <c r="D108" s="272"/>
      <c r="E108" s="243"/>
      <c r="F108" s="2" t="s">
        <v>216</v>
      </c>
      <c r="G108" s="3" t="s">
        <v>235</v>
      </c>
      <c r="H108" s="67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9"/>
      <c r="T108" s="186"/>
      <c r="U108" s="322"/>
      <c r="V108" s="138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4"/>
      <c r="AH108" s="23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4"/>
      <c r="AT108" s="138"/>
      <c r="AU108" s="141"/>
      <c r="AV108" s="141"/>
      <c r="AW108" s="141"/>
      <c r="AX108" s="141"/>
      <c r="AY108" s="141"/>
      <c r="AZ108" s="141"/>
      <c r="BA108" s="141"/>
      <c r="BB108" s="141"/>
      <c r="BC108" s="141"/>
      <c r="BD108" s="141"/>
      <c r="BE108" s="14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5"/>
      <c r="BR108" s="202"/>
      <c r="BS108" s="180"/>
      <c r="BT108" s="156"/>
      <c r="BU108" s="159"/>
      <c r="BV108" s="159"/>
      <c r="BW108" s="159"/>
      <c r="BX108" s="159"/>
      <c r="BY108" s="159"/>
      <c r="BZ108" s="159"/>
      <c r="CA108" s="159"/>
      <c r="CB108" s="159"/>
      <c r="CC108" s="159"/>
      <c r="CD108" s="159"/>
      <c r="CE108" s="162"/>
      <c r="CF108" s="120"/>
      <c r="CG108" s="120"/>
      <c r="CH108" s="120"/>
      <c r="CI108" s="120"/>
      <c r="CJ108" s="120"/>
      <c r="CK108" s="120"/>
      <c r="CL108" s="120"/>
      <c r="CM108" s="120"/>
      <c r="CN108" s="120"/>
      <c r="CO108" s="120"/>
      <c r="CP108" s="120"/>
      <c r="CQ108" s="120"/>
      <c r="CR108" s="329"/>
      <c r="CS108" s="138"/>
      <c r="CT108" s="141"/>
      <c r="CU108" s="141"/>
      <c r="CV108" s="141"/>
      <c r="CW108" s="141"/>
      <c r="CX108" s="141"/>
      <c r="CY108" s="141"/>
      <c r="CZ108" s="141"/>
      <c r="DA108" s="141"/>
      <c r="DB108" s="141"/>
      <c r="DC108" s="141"/>
      <c r="DD108" s="144"/>
      <c r="DE108" s="106"/>
      <c r="DF108" s="106"/>
      <c r="DG108" s="106"/>
      <c r="DH108" s="106"/>
      <c r="DI108" s="106"/>
      <c r="DJ108" s="106"/>
      <c r="DK108" s="106"/>
      <c r="DL108" s="106"/>
      <c r="DM108" s="106"/>
      <c r="DN108" s="106"/>
      <c r="DO108" s="106"/>
      <c r="DP108" s="109"/>
      <c r="DQ108" s="132"/>
      <c r="DS108" s="114"/>
      <c r="DT108" s="117"/>
    </row>
    <row r="109" spans="1:124" ht="20.25" customHeight="1">
      <c r="A109" s="128"/>
      <c r="B109" s="254"/>
      <c r="C109" s="269"/>
      <c r="D109" s="272"/>
      <c r="E109" s="243"/>
      <c r="F109" s="2" t="s">
        <v>217</v>
      </c>
      <c r="G109" s="3" t="s">
        <v>236</v>
      </c>
      <c r="H109" s="67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9"/>
      <c r="T109" s="186"/>
      <c r="U109" s="322"/>
      <c r="V109" s="138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4"/>
      <c r="AH109" s="23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4"/>
      <c r="AT109" s="138"/>
      <c r="AU109" s="141"/>
      <c r="AV109" s="141"/>
      <c r="AW109" s="141"/>
      <c r="AX109" s="141"/>
      <c r="AY109" s="141"/>
      <c r="AZ109" s="141"/>
      <c r="BA109" s="141"/>
      <c r="BB109" s="141"/>
      <c r="BC109" s="141"/>
      <c r="BD109" s="141"/>
      <c r="BE109" s="14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5"/>
      <c r="BR109" s="202"/>
      <c r="BS109" s="180"/>
      <c r="BT109" s="156"/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  <c r="CE109" s="162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0"/>
      <c r="CQ109" s="120"/>
      <c r="CR109" s="329"/>
      <c r="CS109" s="138"/>
      <c r="CT109" s="141"/>
      <c r="CU109" s="141"/>
      <c r="CV109" s="141"/>
      <c r="CW109" s="141"/>
      <c r="CX109" s="141"/>
      <c r="CY109" s="141"/>
      <c r="CZ109" s="141"/>
      <c r="DA109" s="141"/>
      <c r="DB109" s="141"/>
      <c r="DC109" s="141"/>
      <c r="DD109" s="144"/>
      <c r="DE109" s="106"/>
      <c r="DF109" s="106"/>
      <c r="DG109" s="106"/>
      <c r="DH109" s="106"/>
      <c r="DI109" s="106"/>
      <c r="DJ109" s="106"/>
      <c r="DK109" s="106"/>
      <c r="DL109" s="106"/>
      <c r="DM109" s="106"/>
      <c r="DN109" s="106"/>
      <c r="DO109" s="106"/>
      <c r="DP109" s="109"/>
      <c r="DQ109" s="132"/>
      <c r="DS109" s="114"/>
      <c r="DT109" s="117"/>
    </row>
    <row r="110" spans="1:124" ht="20.25" customHeight="1">
      <c r="A110" s="128"/>
      <c r="B110" s="254"/>
      <c r="C110" s="269"/>
      <c r="D110" s="272"/>
      <c r="E110" s="243"/>
      <c r="F110" s="2" t="s">
        <v>218</v>
      </c>
      <c r="G110" s="3" t="s">
        <v>237</v>
      </c>
      <c r="H110" s="67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9"/>
      <c r="T110" s="186"/>
      <c r="U110" s="322"/>
      <c r="V110" s="138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4"/>
      <c r="AH110" s="23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4"/>
      <c r="AT110" s="138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  <c r="BE110" s="14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5"/>
      <c r="BR110" s="202"/>
      <c r="BS110" s="180"/>
      <c r="BT110" s="156"/>
      <c r="BU110" s="159"/>
      <c r="BV110" s="159"/>
      <c r="BW110" s="159"/>
      <c r="BX110" s="159"/>
      <c r="BY110" s="159"/>
      <c r="BZ110" s="159"/>
      <c r="CA110" s="159"/>
      <c r="CB110" s="159"/>
      <c r="CC110" s="159"/>
      <c r="CD110" s="159"/>
      <c r="CE110" s="162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0"/>
      <c r="CR110" s="329"/>
      <c r="CS110" s="138"/>
      <c r="CT110" s="141"/>
      <c r="CU110" s="141"/>
      <c r="CV110" s="141"/>
      <c r="CW110" s="141"/>
      <c r="CX110" s="141"/>
      <c r="CY110" s="141"/>
      <c r="CZ110" s="141"/>
      <c r="DA110" s="141"/>
      <c r="DB110" s="141"/>
      <c r="DC110" s="141"/>
      <c r="DD110" s="144"/>
      <c r="DE110" s="106"/>
      <c r="DF110" s="106"/>
      <c r="DG110" s="106"/>
      <c r="DH110" s="106"/>
      <c r="DI110" s="106"/>
      <c r="DJ110" s="106"/>
      <c r="DK110" s="106"/>
      <c r="DL110" s="106"/>
      <c r="DM110" s="106"/>
      <c r="DN110" s="106"/>
      <c r="DO110" s="106"/>
      <c r="DP110" s="109"/>
      <c r="DQ110" s="132"/>
      <c r="DS110" s="114"/>
      <c r="DT110" s="117"/>
    </row>
    <row r="111" spans="1:124" ht="20.25" customHeight="1">
      <c r="A111" s="128"/>
      <c r="B111" s="254"/>
      <c r="C111" s="269"/>
      <c r="D111" s="272"/>
      <c r="E111" s="243"/>
      <c r="F111" s="2" t="s">
        <v>219</v>
      </c>
      <c r="G111" s="3" t="s">
        <v>238</v>
      </c>
      <c r="H111" s="67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9"/>
      <c r="T111" s="186"/>
      <c r="U111" s="322"/>
      <c r="V111" s="138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4"/>
      <c r="AH111" s="23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4"/>
      <c r="AT111" s="138"/>
      <c r="AU111" s="141"/>
      <c r="AV111" s="141"/>
      <c r="AW111" s="141"/>
      <c r="AX111" s="141"/>
      <c r="AY111" s="141"/>
      <c r="AZ111" s="141"/>
      <c r="BA111" s="141"/>
      <c r="BB111" s="141"/>
      <c r="BC111" s="141"/>
      <c r="BD111" s="141"/>
      <c r="BE111" s="14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5"/>
      <c r="BR111" s="202"/>
      <c r="BS111" s="180"/>
      <c r="BT111" s="156"/>
      <c r="BU111" s="159"/>
      <c r="BV111" s="159"/>
      <c r="BW111" s="159"/>
      <c r="BX111" s="159"/>
      <c r="BY111" s="159"/>
      <c r="BZ111" s="159"/>
      <c r="CA111" s="159"/>
      <c r="CB111" s="159"/>
      <c r="CC111" s="159"/>
      <c r="CD111" s="159"/>
      <c r="CE111" s="162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0"/>
      <c r="CQ111" s="120"/>
      <c r="CR111" s="329"/>
      <c r="CS111" s="138"/>
      <c r="CT111" s="141"/>
      <c r="CU111" s="141"/>
      <c r="CV111" s="141"/>
      <c r="CW111" s="141"/>
      <c r="CX111" s="141"/>
      <c r="CY111" s="141"/>
      <c r="CZ111" s="141"/>
      <c r="DA111" s="141"/>
      <c r="DB111" s="141"/>
      <c r="DC111" s="141"/>
      <c r="DD111" s="144"/>
      <c r="DE111" s="106"/>
      <c r="DF111" s="106"/>
      <c r="DG111" s="106"/>
      <c r="DH111" s="106"/>
      <c r="DI111" s="106"/>
      <c r="DJ111" s="106"/>
      <c r="DK111" s="106"/>
      <c r="DL111" s="106"/>
      <c r="DM111" s="106"/>
      <c r="DN111" s="106"/>
      <c r="DO111" s="106"/>
      <c r="DP111" s="109"/>
      <c r="DQ111" s="132"/>
      <c r="DS111" s="114"/>
      <c r="DT111" s="117"/>
    </row>
    <row r="112" spans="1:124" ht="20.25" customHeight="1">
      <c r="A112" s="128"/>
      <c r="B112" s="254"/>
      <c r="C112" s="269"/>
      <c r="D112" s="272"/>
      <c r="E112" s="243"/>
      <c r="F112" s="2" t="s">
        <v>220</v>
      </c>
      <c r="G112" s="3" t="s">
        <v>239</v>
      </c>
      <c r="H112" s="67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9"/>
      <c r="T112" s="186"/>
      <c r="U112" s="322"/>
      <c r="V112" s="138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4"/>
      <c r="AH112" s="23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4"/>
      <c r="AT112" s="138"/>
      <c r="AU112" s="141"/>
      <c r="AV112" s="141"/>
      <c r="AW112" s="141"/>
      <c r="AX112" s="141"/>
      <c r="AY112" s="141"/>
      <c r="AZ112" s="141"/>
      <c r="BA112" s="141"/>
      <c r="BB112" s="141"/>
      <c r="BC112" s="141"/>
      <c r="BD112" s="141"/>
      <c r="BE112" s="14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5"/>
      <c r="BR112" s="202"/>
      <c r="BS112" s="180"/>
      <c r="BT112" s="156"/>
      <c r="BU112" s="159"/>
      <c r="BV112" s="159"/>
      <c r="BW112" s="159"/>
      <c r="BX112" s="159"/>
      <c r="BY112" s="159"/>
      <c r="BZ112" s="159"/>
      <c r="CA112" s="159"/>
      <c r="CB112" s="159"/>
      <c r="CC112" s="159"/>
      <c r="CD112" s="159"/>
      <c r="CE112" s="162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0"/>
      <c r="CR112" s="329"/>
      <c r="CS112" s="138"/>
      <c r="CT112" s="141"/>
      <c r="CU112" s="141"/>
      <c r="CV112" s="141"/>
      <c r="CW112" s="141"/>
      <c r="CX112" s="141"/>
      <c r="CY112" s="141"/>
      <c r="CZ112" s="141"/>
      <c r="DA112" s="141"/>
      <c r="DB112" s="141"/>
      <c r="DC112" s="141"/>
      <c r="DD112" s="144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9"/>
      <c r="DQ112" s="132"/>
      <c r="DS112" s="114"/>
      <c r="DT112" s="117"/>
    </row>
    <row r="113" spans="1:124" ht="20.25" customHeight="1" thickBot="1">
      <c r="A113" s="129"/>
      <c r="B113" s="255"/>
      <c r="C113" s="270"/>
      <c r="D113" s="273"/>
      <c r="E113" s="244"/>
      <c r="F113" s="10" t="s">
        <v>221</v>
      </c>
      <c r="G113" s="11" t="s">
        <v>240</v>
      </c>
      <c r="H113" s="70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2"/>
      <c r="T113" s="187"/>
      <c r="U113" s="323"/>
      <c r="V113" s="139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5"/>
      <c r="AH113" s="233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30"/>
      <c r="AT113" s="139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5"/>
      <c r="BF113" s="265"/>
      <c r="BG113" s="265"/>
      <c r="BH113" s="265"/>
      <c r="BI113" s="265"/>
      <c r="BJ113" s="265"/>
      <c r="BK113" s="265"/>
      <c r="BL113" s="265"/>
      <c r="BM113" s="265"/>
      <c r="BN113" s="265"/>
      <c r="BO113" s="265"/>
      <c r="BP113" s="265"/>
      <c r="BQ113" s="267"/>
      <c r="BR113" s="203"/>
      <c r="BS113" s="181"/>
      <c r="BT113" s="157"/>
      <c r="BU113" s="160"/>
      <c r="BV113" s="160"/>
      <c r="BW113" s="160"/>
      <c r="BX113" s="160"/>
      <c r="BY113" s="160"/>
      <c r="BZ113" s="160"/>
      <c r="CA113" s="160"/>
      <c r="CB113" s="160"/>
      <c r="CC113" s="160"/>
      <c r="CD113" s="160"/>
      <c r="CE113" s="163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330"/>
      <c r="CS113" s="139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45"/>
      <c r="DE113" s="107"/>
      <c r="DF113" s="107"/>
      <c r="DG113" s="107"/>
      <c r="DH113" s="107"/>
      <c r="DI113" s="107"/>
      <c r="DJ113" s="107"/>
      <c r="DK113" s="107"/>
      <c r="DL113" s="107"/>
      <c r="DM113" s="107"/>
      <c r="DN113" s="107"/>
      <c r="DO113" s="107"/>
      <c r="DP113" s="110"/>
      <c r="DQ113" s="133"/>
      <c r="DS113" s="115"/>
      <c r="DT113" s="118"/>
    </row>
    <row r="116" spans="1:124">
      <c r="AT116" s="100">
        <f>((AT36*BF36)+(AT39*BF39)+(AT51*BF51))/(BF36+BF39+BF51)</f>
        <v>31.293672553966914</v>
      </c>
      <c r="AU116" s="100">
        <f t="shared" ref="AU116:AZ116" si="80">((AU36*BG36)+(AU39*BG39)+(AU51*BG51))/(BG36+BG39+BG51)</f>
        <v>31.301211428571435</v>
      </c>
      <c r="AV116" s="100">
        <f t="shared" si="80"/>
        <v>30.419265951439861</v>
      </c>
      <c r="AW116" s="100">
        <f t="shared" si="80"/>
        <v>30.02174322396576</v>
      </c>
      <c r="AX116" s="100">
        <f t="shared" si="80"/>
        <v>32.48943598420756</v>
      </c>
      <c r="AY116" s="100">
        <f t="shared" si="80"/>
        <v>33.970826851051569</v>
      </c>
      <c r="AZ116" s="100">
        <f t="shared" si="80"/>
        <v>37.920173049645392</v>
      </c>
    </row>
  </sheetData>
  <mergeCells count="1112">
    <mergeCell ref="A2:DT2"/>
    <mergeCell ref="AK107:AK113"/>
    <mergeCell ref="AL107:AL113"/>
    <mergeCell ref="AM107:AM113"/>
    <mergeCell ref="AN107:AN113"/>
    <mergeCell ref="AO107:AO113"/>
    <mergeCell ref="AP107:AP113"/>
    <mergeCell ref="AE107:AE113"/>
    <mergeCell ref="AF107:AF113"/>
    <mergeCell ref="AG107:AG113"/>
    <mergeCell ref="AH107:AH113"/>
    <mergeCell ref="AI107:AI113"/>
    <mergeCell ref="AJ107:AJ113"/>
    <mergeCell ref="Y107:Y113"/>
    <mergeCell ref="Z107:Z113"/>
    <mergeCell ref="AA107:AA113"/>
    <mergeCell ref="AB107:AB113"/>
    <mergeCell ref="AC107:AC113"/>
    <mergeCell ref="AD107:AD113"/>
    <mergeCell ref="AL100:AL106"/>
    <mergeCell ref="AM100:AM106"/>
    <mergeCell ref="AN100:AN106"/>
    <mergeCell ref="AO100:AO106"/>
    <mergeCell ref="AP100:AP106"/>
    <mergeCell ref="AQ100:AQ106"/>
    <mergeCell ref="AF100:AF106"/>
    <mergeCell ref="AG100:AG106"/>
    <mergeCell ref="AH100:AH106"/>
    <mergeCell ref="AI100:AI106"/>
    <mergeCell ref="AJ100:AJ106"/>
    <mergeCell ref="AK100:AK106"/>
    <mergeCell ref="AD100:AD106"/>
    <mergeCell ref="AE100:AE106"/>
    <mergeCell ref="BO93:BO113"/>
    <mergeCell ref="BP93:BP113"/>
    <mergeCell ref="BQ93:BQ113"/>
    <mergeCell ref="BR93:BR113"/>
    <mergeCell ref="BS93:BS113"/>
    <mergeCell ref="E100:E106"/>
    <mergeCell ref="V100:V106"/>
    <mergeCell ref="W100:W106"/>
    <mergeCell ref="X100:X106"/>
    <mergeCell ref="Y100:Y106"/>
    <mergeCell ref="BI93:BI113"/>
    <mergeCell ref="BJ93:BJ113"/>
    <mergeCell ref="BK93:BK113"/>
    <mergeCell ref="BL93:BL113"/>
    <mergeCell ref="BM93:BM113"/>
    <mergeCell ref="BN93:BN113"/>
    <mergeCell ref="BC93:BC113"/>
    <mergeCell ref="BD93:BD113"/>
    <mergeCell ref="BE93:BE113"/>
    <mergeCell ref="BF93:BF113"/>
    <mergeCell ref="BG93:BG113"/>
    <mergeCell ref="BH93:BH113"/>
    <mergeCell ref="AW93:AW113"/>
    <mergeCell ref="AX93:AX113"/>
    <mergeCell ref="AY93:AY113"/>
    <mergeCell ref="AZ93:AZ113"/>
    <mergeCell ref="AS107:AS113"/>
    <mergeCell ref="C93:C113"/>
    <mergeCell ref="D93:D113"/>
    <mergeCell ref="E93:E99"/>
    <mergeCell ref="V93:V99"/>
    <mergeCell ref="W93:W99"/>
    <mergeCell ref="X93:X99"/>
    <mergeCell ref="E107:E113"/>
    <mergeCell ref="V107:V113"/>
    <mergeCell ref="W107:W113"/>
    <mergeCell ref="X107:X113"/>
    <mergeCell ref="BA93:BA113"/>
    <mergeCell ref="BB93:BB113"/>
    <mergeCell ref="AQ93:AQ99"/>
    <mergeCell ref="AR93:AR99"/>
    <mergeCell ref="AS93:AS99"/>
    <mergeCell ref="AT93:AT113"/>
    <mergeCell ref="AU93:AU113"/>
    <mergeCell ref="AV93:AV113"/>
    <mergeCell ref="AR100:AR106"/>
    <mergeCell ref="AS100:AS106"/>
    <mergeCell ref="AQ107:AQ113"/>
    <mergeCell ref="AR107:AR113"/>
    <mergeCell ref="AK93:AK99"/>
    <mergeCell ref="AL93:AL99"/>
    <mergeCell ref="AM93:AM99"/>
    <mergeCell ref="AN93:AN99"/>
    <mergeCell ref="AO93:AO99"/>
    <mergeCell ref="AP93:AP99"/>
    <mergeCell ref="Z100:Z106"/>
    <mergeCell ref="AA100:AA106"/>
    <mergeCell ref="AB100:AB106"/>
    <mergeCell ref="AC100:AC106"/>
    <mergeCell ref="AK91:AK92"/>
    <mergeCell ref="AL91:AL92"/>
    <mergeCell ref="AA91:AA92"/>
    <mergeCell ref="AB91:AB92"/>
    <mergeCell ref="AC91:AC92"/>
    <mergeCell ref="AD91:AD92"/>
    <mergeCell ref="AE91:AE92"/>
    <mergeCell ref="AF91:AF92"/>
    <mergeCell ref="AE93:AE99"/>
    <mergeCell ref="AF93:AF99"/>
    <mergeCell ref="AG93:AG99"/>
    <mergeCell ref="AH93:AH99"/>
    <mergeCell ref="AI93:AI99"/>
    <mergeCell ref="AJ93:AJ99"/>
    <mergeCell ref="Y93:Y99"/>
    <mergeCell ref="Z93:Z99"/>
    <mergeCell ref="AA93:AA99"/>
    <mergeCell ref="AB93:AB99"/>
    <mergeCell ref="AC93:AC99"/>
    <mergeCell ref="AD93:AD99"/>
    <mergeCell ref="E91:E92"/>
    <mergeCell ref="V91:V92"/>
    <mergeCell ref="W91:W92"/>
    <mergeCell ref="X91:X92"/>
    <mergeCell ref="Y91:Y92"/>
    <mergeCell ref="Z91:Z92"/>
    <mergeCell ref="AM89:AM90"/>
    <mergeCell ref="AN89:AN90"/>
    <mergeCell ref="AO89:AO90"/>
    <mergeCell ref="AP89:AP90"/>
    <mergeCell ref="AQ89:AQ90"/>
    <mergeCell ref="AR89:AR90"/>
    <mergeCell ref="AG89:AG90"/>
    <mergeCell ref="AH89:AH90"/>
    <mergeCell ref="AI89:AI90"/>
    <mergeCell ref="AJ89:AJ90"/>
    <mergeCell ref="AK89:AK90"/>
    <mergeCell ref="AL89:AL90"/>
    <mergeCell ref="AA89:AA90"/>
    <mergeCell ref="AB89:AB90"/>
    <mergeCell ref="AC89:AC90"/>
    <mergeCell ref="AD89:AD90"/>
    <mergeCell ref="AE89:AE90"/>
    <mergeCell ref="AF89:AF90"/>
    <mergeCell ref="E89:E90"/>
    <mergeCell ref="V89:V90"/>
    <mergeCell ref="W89:W90"/>
    <mergeCell ref="X89:X90"/>
    <mergeCell ref="Y89:Y90"/>
    <mergeCell ref="Z89:Z90"/>
    <mergeCell ref="AM91:AM92"/>
    <mergeCell ref="AN91:AN92"/>
    <mergeCell ref="BM87:BM92"/>
    <mergeCell ref="BN87:BN92"/>
    <mergeCell ref="BO87:BO92"/>
    <mergeCell ref="BP87:BP92"/>
    <mergeCell ref="BQ87:BQ92"/>
    <mergeCell ref="BR87:BR92"/>
    <mergeCell ref="BG87:BG92"/>
    <mergeCell ref="BH87:BH92"/>
    <mergeCell ref="BI87:BI92"/>
    <mergeCell ref="BJ87:BJ92"/>
    <mergeCell ref="BK87:BK92"/>
    <mergeCell ref="BL87:BL92"/>
    <mergeCell ref="BA87:BA92"/>
    <mergeCell ref="BB87:BB92"/>
    <mergeCell ref="BC87:BC92"/>
    <mergeCell ref="BD87:BD92"/>
    <mergeCell ref="BE87:BE92"/>
    <mergeCell ref="BF87:BF92"/>
    <mergeCell ref="Y83:Y86"/>
    <mergeCell ref="Z83:Z86"/>
    <mergeCell ref="AA83:AA86"/>
    <mergeCell ref="AB83:AB86"/>
    <mergeCell ref="AU87:AU92"/>
    <mergeCell ref="AV87:AV92"/>
    <mergeCell ref="AW87:AW92"/>
    <mergeCell ref="AX87:AX92"/>
    <mergeCell ref="AY87:AY92"/>
    <mergeCell ref="AZ87:AZ92"/>
    <mergeCell ref="AO87:AO88"/>
    <mergeCell ref="AP87:AP88"/>
    <mergeCell ref="AQ87:AQ88"/>
    <mergeCell ref="AR87:AR88"/>
    <mergeCell ref="AS87:AS88"/>
    <mergeCell ref="AT87:AT92"/>
    <mergeCell ref="AS89:AS90"/>
    <mergeCell ref="AS91:AS92"/>
    <mergeCell ref="AI87:AI88"/>
    <mergeCell ref="AJ87:AJ88"/>
    <mergeCell ref="AK87:AK88"/>
    <mergeCell ref="AL87:AL88"/>
    <mergeCell ref="AM87:AM88"/>
    <mergeCell ref="AN87:AN88"/>
    <mergeCell ref="AO91:AO92"/>
    <mergeCell ref="AP91:AP92"/>
    <mergeCell ref="AQ91:AQ92"/>
    <mergeCell ref="AR91:AR92"/>
    <mergeCell ref="AG91:AG92"/>
    <mergeCell ref="AH91:AH92"/>
    <mergeCell ref="AI91:AI92"/>
    <mergeCell ref="AJ91:AJ92"/>
    <mergeCell ref="AB79:AB82"/>
    <mergeCell ref="AC79:AC82"/>
    <mergeCell ref="AD79:AD82"/>
    <mergeCell ref="AE79:AE82"/>
    <mergeCell ref="AC87:AC88"/>
    <mergeCell ref="AD87:AD88"/>
    <mergeCell ref="AE87:AE88"/>
    <mergeCell ref="AF87:AF88"/>
    <mergeCell ref="AG87:AG88"/>
    <mergeCell ref="AH87:AH88"/>
    <mergeCell ref="AS83:AS86"/>
    <mergeCell ref="D87:D92"/>
    <mergeCell ref="E87:E88"/>
    <mergeCell ref="V87:V88"/>
    <mergeCell ref="W87:W88"/>
    <mergeCell ref="X87:X88"/>
    <mergeCell ref="Y87:Y88"/>
    <mergeCell ref="Z87:Z88"/>
    <mergeCell ref="AA87:AA88"/>
    <mergeCell ref="AB87:AB88"/>
    <mergeCell ref="AK83:AK86"/>
    <mergeCell ref="AL83:AL86"/>
    <mergeCell ref="AM83:AM86"/>
    <mergeCell ref="AN83:AN86"/>
    <mergeCell ref="AO83:AO86"/>
    <mergeCell ref="AP83:AP86"/>
    <mergeCell ref="AE83:AE86"/>
    <mergeCell ref="AF83:AF86"/>
    <mergeCell ref="AG83:AG86"/>
    <mergeCell ref="AH83:AH86"/>
    <mergeCell ref="AI83:AI86"/>
    <mergeCell ref="AJ83:AJ86"/>
    <mergeCell ref="BM75:BM86"/>
    <mergeCell ref="BN75:BN86"/>
    <mergeCell ref="BC75:BC86"/>
    <mergeCell ref="BD75:BD86"/>
    <mergeCell ref="BE75:BE86"/>
    <mergeCell ref="BF75:BF86"/>
    <mergeCell ref="BG75:BG86"/>
    <mergeCell ref="BH75:BH86"/>
    <mergeCell ref="AW75:AW86"/>
    <mergeCell ref="AX75:AX86"/>
    <mergeCell ref="AY75:AY86"/>
    <mergeCell ref="AZ75:AZ86"/>
    <mergeCell ref="BA75:BA86"/>
    <mergeCell ref="BB75:BB86"/>
    <mergeCell ref="AQ75:AQ78"/>
    <mergeCell ref="AR75:AR78"/>
    <mergeCell ref="AS75:AS78"/>
    <mergeCell ref="AT75:AT86"/>
    <mergeCell ref="AQ79:AQ82"/>
    <mergeCell ref="AU75:AU86"/>
    <mergeCell ref="AV75:AV86"/>
    <mergeCell ref="AR79:AR82"/>
    <mergeCell ref="AS79:AS82"/>
    <mergeCell ref="AQ83:AQ86"/>
    <mergeCell ref="AR83:AR86"/>
    <mergeCell ref="AK75:AK78"/>
    <mergeCell ref="AL75:AL78"/>
    <mergeCell ref="AM75:AM78"/>
    <mergeCell ref="AN75:AN78"/>
    <mergeCell ref="AO75:AO78"/>
    <mergeCell ref="AP75:AP78"/>
    <mergeCell ref="AE75:AE78"/>
    <mergeCell ref="AF75:AF78"/>
    <mergeCell ref="AG75:AG78"/>
    <mergeCell ref="AH75:AH78"/>
    <mergeCell ref="AI75:AI78"/>
    <mergeCell ref="AJ75:AJ78"/>
    <mergeCell ref="AL79:AL82"/>
    <mergeCell ref="AM79:AM82"/>
    <mergeCell ref="AN79:AN82"/>
    <mergeCell ref="AO79:AO82"/>
    <mergeCell ref="AP79:AP82"/>
    <mergeCell ref="AF79:AF82"/>
    <mergeCell ref="AG79:AG82"/>
    <mergeCell ref="AH79:AH82"/>
    <mergeCell ref="AI79:AI82"/>
    <mergeCell ref="AJ79:AJ82"/>
    <mergeCell ref="AK79:AK82"/>
    <mergeCell ref="Y75:Y78"/>
    <mergeCell ref="Z75:Z78"/>
    <mergeCell ref="AA75:AA78"/>
    <mergeCell ref="AB75:AB78"/>
    <mergeCell ref="AC75:AC78"/>
    <mergeCell ref="AD75:AD78"/>
    <mergeCell ref="C75:C92"/>
    <mergeCell ref="D75:D86"/>
    <mergeCell ref="E75:E78"/>
    <mergeCell ref="V75:V78"/>
    <mergeCell ref="W75:W78"/>
    <mergeCell ref="X75:X78"/>
    <mergeCell ref="E83:E86"/>
    <mergeCell ref="V83:V86"/>
    <mergeCell ref="W83:W86"/>
    <mergeCell ref="X83:X86"/>
    <mergeCell ref="AM71:AM74"/>
    <mergeCell ref="C63:C74"/>
    <mergeCell ref="D63:D74"/>
    <mergeCell ref="E63:E66"/>
    <mergeCell ref="V63:V66"/>
    <mergeCell ref="W63:W66"/>
    <mergeCell ref="X63:X66"/>
    <mergeCell ref="E79:E82"/>
    <mergeCell ref="V79:V82"/>
    <mergeCell ref="W79:W82"/>
    <mergeCell ref="X79:X82"/>
    <mergeCell ref="Y79:Y82"/>
    <mergeCell ref="AC83:AC86"/>
    <mergeCell ref="AD83:AD86"/>
    <mergeCell ref="Z79:Z82"/>
    <mergeCell ref="AA79:AA82"/>
    <mergeCell ref="E71:E74"/>
    <mergeCell ref="V71:V74"/>
    <mergeCell ref="W71:W74"/>
    <mergeCell ref="X71:X74"/>
    <mergeCell ref="Y71:Y74"/>
    <mergeCell ref="Z71:Z74"/>
    <mergeCell ref="AJ67:AJ70"/>
    <mergeCell ref="AK67:AK70"/>
    <mergeCell ref="AL67:AL70"/>
    <mergeCell ref="AM67:AM70"/>
    <mergeCell ref="AN67:AN70"/>
    <mergeCell ref="AO67:AO70"/>
    <mergeCell ref="AD67:AD70"/>
    <mergeCell ref="AE67:AE70"/>
    <mergeCell ref="AF67:AF70"/>
    <mergeCell ref="AG67:AG70"/>
    <mergeCell ref="AH67:AH70"/>
    <mergeCell ref="AI67:AI70"/>
    <mergeCell ref="AN71:AN74"/>
    <mergeCell ref="AO71:AO74"/>
    <mergeCell ref="AG71:AG74"/>
    <mergeCell ref="AH71:AH74"/>
    <mergeCell ref="AI71:AI74"/>
    <mergeCell ref="AJ71:AJ74"/>
    <mergeCell ref="AK71:AK74"/>
    <mergeCell ref="AL71:AL74"/>
    <mergeCell ref="AA71:AA74"/>
    <mergeCell ref="AB71:AB74"/>
    <mergeCell ref="AC71:AC74"/>
    <mergeCell ref="AD71:AD74"/>
    <mergeCell ref="AE71:AE74"/>
    <mergeCell ref="AF71:AF74"/>
    <mergeCell ref="E67:E70"/>
    <mergeCell ref="V67:V70"/>
    <mergeCell ref="W67:W70"/>
    <mergeCell ref="X67:X70"/>
    <mergeCell ref="Y67:Y70"/>
    <mergeCell ref="Z67:Z70"/>
    <mergeCell ref="AA67:AA70"/>
    <mergeCell ref="AB67:AB70"/>
    <mergeCell ref="AC67:AC70"/>
    <mergeCell ref="BI63:BI74"/>
    <mergeCell ref="BJ63:BJ74"/>
    <mergeCell ref="BK63:BK74"/>
    <mergeCell ref="BL63:BL74"/>
    <mergeCell ref="BM63:BM74"/>
    <mergeCell ref="BN63:BN74"/>
    <mergeCell ref="BC63:BC74"/>
    <mergeCell ref="BD63:BD74"/>
    <mergeCell ref="BE63:BE74"/>
    <mergeCell ref="BF63:BF74"/>
    <mergeCell ref="BG63:BG74"/>
    <mergeCell ref="BH63:BH74"/>
    <mergeCell ref="AW63:AW74"/>
    <mergeCell ref="AX63:AX74"/>
    <mergeCell ref="AY63:AY74"/>
    <mergeCell ref="AZ63:AZ74"/>
    <mergeCell ref="BA63:BA74"/>
    <mergeCell ref="BB63:BB74"/>
    <mergeCell ref="AQ63:AQ66"/>
    <mergeCell ref="AR63:AR66"/>
    <mergeCell ref="AS63:AS66"/>
    <mergeCell ref="AT63:AT74"/>
    <mergeCell ref="AP67:AP70"/>
    <mergeCell ref="AU63:AU74"/>
    <mergeCell ref="AV63:AV74"/>
    <mergeCell ref="AS71:AS74"/>
    <mergeCell ref="AK63:AK66"/>
    <mergeCell ref="AL63:AL66"/>
    <mergeCell ref="AM63:AM66"/>
    <mergeCell ref="AN63:AN66"/>
    <mergeCell ref="AO63:AO66"/>
    <mergeCell ref="AP63:AP66"/>
    <mergeCell ref="AE63:AE66"/>
    <mergeCell ref="AF63:AF66"/>
    <mergeCell ref="AG63:AG66"/>
    <mergeCell ref="AH63:AH66"/>
    <mergeCell ref="AI63:AI66"/>
    <mergeCell ref="AJ63:AJ66"/>
    <mergeCell ref="Y63:Y66"/>
    <mergeCell ref="Z63:Z66"/>
    <mergeCell ref="AA63:AA66"/>
    <mergeCell ref="AB63:AB66"/>
    <mergeCell ref="AC63:AC66"/>
    <mergeCell ref="AD63:AD66"/>
    <mergeCell ref="AQ67:AQ70"/>
    <mergeCell ref="AR67:AR70"/>
    <mergeCell ref="AS67:AS70"/>
    <mergeCell ref="AP71:AP74"/>
    <mergeCell ref="AQ71:AQ74"/>
    <mergeCell ref="AR71:AR74"/>
    <mergeCell ref="W57:W59"/>
    <mergeCell ref="X57:X59"/>
    <mergeCell ref="Y57:Y59"/>
    <mergeCell ref="Z57:Z59"/>
    <mergeCell ref="AM60:AM62"/>
    <mergeCell ref="AN60:AN62"/>
    <mergeCell ref="AO60:AO62"/>
    <mergeCell ref="AP60:AP62"/>
    <mergeCell ref="AQ60:AQ62"/>
    <mergeCell ref="AR60:AR62"/>
    <mergeCell ref="AG60:AG62"/>
    <mergeCell ref="AH60:AH62"/>
    <mergeCell ref="AI60:AI62"/>
    <mergeCell ref="AJ60:AJ62"/>
    <mergeCell ref="AK60:AK62"/>
    <mergeCell ref="AL60:AL62"/>
    <mergeCell ref="AA60:AA62"/>
    <mergeCell ref="AB60:AB62"/>
    <mergeCell ref="AC60:AC62"/>
    <mergeCell ref="AD60:AD62"/>
    <mergeCell ref="AE60:AE62"/>
    <mergeCell ref="AF60:AF62"/>
    <mergeCell ref="CA54:CA113"/>
    <mergeCell ref="CB54:CB113"/>
    <mergeCell ref="CC54:CC113"/>
    <mergeCell ref="CD54:CD113"/>
    <mergeCell ref="CE54:CE113"/>
    <mergeCell ref="CF54:CF113"/>
    <mergeCell ref="E60:E62"/>
    <mergeCell ref="V60:V62"/>
    <mergeCell ref="W60:W62"/>
    <mergeCell ref="X60:X62"/>
    <mergeCell ref="Y60:Y62"/>
    <mergeCell ref="Z60:Z62"/>
    <mergeCell ref="AM57:AM59"/>
    <mergeCell ref="AN57:AN59"/>
    <mergeCell ref="AO57:AO59"/>
    <mergeCell ref="AP57:AP59"/>
    <mergeCell ref="AQ57:AQ59"/>
    <mergeCell ref="AR57:AR59"/>
    <mergeCell ref="AG57:AG59"/>
    <mergeCell ref="AH57:AH59"/>
    <mergeCell ref="AI57:AI59"/>
    <mergeCell ref="AJ57:AJ59"/>
    <mergeCell ref="AK57:AK59"/>
    <mergeCell ref="AL57:AL59"/>
    <mergeCell ref="AA57:AA59"/>
    <mergeCell ref="AB57:AB59"/>
    <mergeCell ref="AC57:AC59"/>
    <mergeCell ref="AD57:AD59"/>
    <mergeCell ref="AE57:AE59"/>
    <mergeCell ref="AF57:AF59"/>
    <mergeCell ref="E57:E59"/>
    <mergeCell ref="V57:V59"/>
    <mergeCell ref="BU54:BU113"/>
    <mergeCell ref="BV54:BV113"/>
    <mergeCell ref="BW54:BW113"/>
    <mergeCell ref="BX54:BX113"/>
    <mergeCell ref="BY54:BY113"/>
    <mergeCell ref="BZ54:BZ113"/>
    <mergeCell ref="BO54:BO62"/>
    <mergeCell ref="BP54:BP62"/>
    <mergeCell ref="BQ54:BQ62"/>
    <mergeCell ref="BR54:BR62"/>
    <mergeCell ref="BS54:BS62"/>
    <mergeCell ref="BT54:BT113"/>
    <mergeCell ref="BO63:BO74"/>
    <mergeCell ref="BP63:BP74"/>
    <mergeCell ref="BQ63:BQ74"/>
    <mergeCell ref="BR63:BR74"/>
    <mergeCell ref="BI54:BI62"/>
    <mergeCell ref="BJ54:BJ62"/>
    <mergeCell ref="BK54:BK62"/>
    <mergeCell ref="BL54:BL62"/>
    <mergeCell ref="BM54:BM62"/>
    <mergeCell ref="BN54:BN62"/>
    <mergeCell ref="BS63:BS74"/>
    <mergeCell ref="BO75:BO86"/>
    <mergeCell ref="BP75:BP86"/>
    <mergeCell ref="BQ75:BQ86"/>
    <mergeCell ref="BR75:BR86"/>
    <mergeCell ref="BS75:BS92"/>
    <mergeCell ref="BI75:BI86"/>
    <mergeCell ref="BJ75:BJ86"/>
    <mergeCell ref="BK75:BK86"/>
    <mergeCell ref="BL75:BL86"/>
    <mergeCell ref="AF54:AF56"/>
    <mergeCell ref="AG54:AG56"/>
    <mergeCell ref="AH54:AH56"/>
    <mergeCell ref="AI54:AI56"/>
    <mergeCell ref="AJ54:AJ56"/>
    <mergeCell ref="Y54:Y56"/>
    <mergeCell ref="Z54:Z56"/>
    <mergeCell ref="AA54:AA56"/>
    <mergeCell ref="AB54:AB56"/>
    <mergeCell ref="AC54:AC56"/>
    <mergeCell ref="AD54:AD56"/>
    <mergeCell ref="BC54:BC62"/>
    <mergeCell ref="BD54:BD62"/>
    <mergeCell ref="BE54:BE62"/>
    <mergeCell ref="BF54:BF62"/>
    <mergeCell ref="BG54:BG62"/>
    <mergeCell ref="BH54:BH62"/>
    <mergeCell ref="AW54:AW62"/>
    <mergeCell ref="AX54:AX62"/>
    <mergeCell ref="AY54:AY62"/>
    <mergeCell ref="AZ54:AZ62"/>
    <mergeCell ref="BA54:BA62"/>
    <mergeCell ref="BB54:BB62"/>
    <mergeCell ref="AQ54:AQ56"/>
    <mergeCell ref="AR54:AR56"/>
    <mergeCell ref="AS54:AS56"/>
    <mergeCell ref="AT54:AT62"/>
    <mergeCell ref="AU54:AU62"/>
    <mergeCell ref="AV54:AV62"/>
    <mergeCell ref="AS57:AS59"/>
    <mergeCell ref="AS60:AS62"/>
    <mergeCell ref="B54:B113"/>
    <mergeCell ref="C54:C62"/>
    <mergeCell ref="D54:D62"/>
    <mergeCell ref="E54:E56"/>
    <mergeCell ref="V54:V56"/>
    <mergeCell ref="W54:W56"/>
    <mergeCell ref="X54:X56"/>
    <mergeCell ref="BJ51:BJ53"/>
    <mergeCell ref="BK51:BK53"/>
    <mergeCell ref="BL51:BL53"/>
    <mergeCell ref="BM51:BM53"/>
    <mergeCell ref="BN51:BN53"/>
    <mergeCell ref="BO51:BO53"/>
    <mergeCell ref="BD51:BD53"/>
    <mergeCell ref="BE51:BE53"/>
    <mergeCell ref="BF51:BF53"/>
    <mergeCell ref="BG51:BG53"/>
    <mergeCell ref="BH51:BH53"/>
    <mergeCell ref="BI51:BI53"/>
    <mergeCell ref="AX51:AX53"/>
    <mergeCell ref="AY51:AY53"/>
    <mergeCell ref="AZ51:AZ53"/>
    <mergeCell ref="BA51:BA53"/>
    <mergeCell ref="BB51:BB53"/>
    <mergeCell ref="BC51:BC53"/>
    <mergeCell ref="AK54:AK56"/>
    <mergeCell ref="AL54:AL56"/>
    <mergeCell ref="AM54:AM56"/>
    <mergeCell ref="AN54:AN56"/>
    <mergeCell ref="AO54:AO56"/>
    <mergeCell ref="AP54:AP56"/>
    <mergeCell ref="AE54:AE56"/>
    <mergeCell ref="BO48:BO50"/>
    <mergeCell ref="BP48:BP50"/>
    <mergeCell ref="BQ48:BQ50"/>
    <mergeCell ref="BR48:BR50"/>
    <mergeCell ref="BS48:BS53"/>
    <mergeCell ref="D51:D53"/>
    <mergeCell ref="AT51:AT53"/>
    <mergeCell ref="AU51:AU53"/>
    <mergeCell ref="AV51:AV53"/>
    <mergeCell ref="AW51:AW53"/>
    <mergeCell ref="BI48:BI50"/>
    <mergeCell ref="BJ48:BJ50"/>
    <mergeCell ref="BK48:BK50"/>
    <mergeCell ref="BL48:BL50"/>
    <mergeCell ref="BM48:BM50"/>
    <mergeCell ref="BN48:BN50"/>
    <mergeCell ref="BC48:BC50"/>
    <mergeCell ref="BD48:BD50"/>
    <mergeCell ref="BE48:BE50"/>
    <mergeCell ref="BF48:BF50"/>
    <mergeCell ref="BG48:BG50"/>
    <mergeCell ref="BH48:BH50"/>
    <mergeCell ref="AW48:AW50"/>
    <mergeCell ref="AX48:AX50"/>
    <mergeCell ref="AY48:AY50"/>
    <mergeCell ref="AZ48:AZ50"/>
    <mergeCell ref="BA48:BA50"/>
    <mergeCell ref="BB48:BB50"/>
    <mergeCell ref="BP51:BP53"/>
    <mergeCell ref="BQ51:BQ53"/>
    <mergeCell ref="BR51:BR53"/>
    <mergeCell ref="C48:C53"/>
    <mergeCell ref="D48:D50"/>
    <mergeCell ref="AT48:AT50"/>
    <mergeCell ref="AU48:AU50"/>
    <mergeCell ref="AV48:AV50"/>
    <mergeCell ref="AM45:AM47"/>
    <mergeCell ref="AN45:AN47"/>
    <mergeCell ref="AO45:AO47"/>
    <mergeCell ref="AP45:AP47"/>
    <mergeCell ref="AQ45:AQ47"/>
    <mergeCell ref="AR45:AR47"/>
    <mergeCell ref="AG45:AG47"/>
    <mergeCell ref="AH45:AH47"/>
    <mergeCell ref="AI45:AI47"/>
    <mergeCell ref="AJ45:AJ47"/>
    <mergeCell ref="AK45:AK47"/>
    <mergeCell ref="AL45:AL47"/>
    <mergeCell ref="AA45:AA47"/>
    <mergeCell ref="AB45:AB47"/>
    <mergeCell ref="AC45:AC47"/>
    <mergeCell ref="AD45:AD47"/>
    <mergeCell ref="AE45:AE47"/>
    <mergeCell ref="AF45:AF47"/>
    <mergeCell ref="E45:E47"/>
    <mergeCell ref="V45:V47"/>
    <mergeCell ref="W45:W47"/>
    <mergeCell ref="X45:X47"/>
    <mergeCell ref="Y45:Y47"/>
    <mergeCell ref="Z45:Z47"/>
    <mergeCell ref="AD42:AD44"/>
    <mergeCell ref="AE42:AE44"/>
    <mergeCell ref="AF42:AF44"/>
    <mergeCell ref="AG42:AG44"/>
    <mergeCell ref="AH42:AH44"/>
    <mergeCell ref="AI42:AI44"/>
    <mergeCell ref="BR39:BR47"/>
    <mergeCell ref="E42:E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BH39:BH47"/>
    <mergeCell ref="BI39:BI47"/>
    <mergeCell ref="BJ39:BJ47"/>
    <mergeCell ref="BK39:BK47"/>
    <mergeCell ref="BL39:BL47"/>
    <mergeCell ref="BM39:BM47"/>
    <mergeCell ref="BB39:BB47"/>
    <mergeCell ref="BC39:BC47"/>
    <mergeCell ref="BD39:BD47"/>
    <mergeCell ref="BE39:BE47"/>
    <mergeCell ref="AS45:AS47"/>
    <mergeCell ref="AV39:AV47"/>
    <mergeCell ref="AW39:AW47"/>
    <mergeCell ref="AX39:AX47"/>
    <mergeCell ref="AY39:AY47"/>
    <mergeCell ref="AZ39:AZ47"/>
    <mergeCell ref="BA39:BA47"/>
    <mergeCell ref="AP39:AP41"/>
    <mergeCell ref="AQ39:AQ41"/>
    <mergeCell ref="AR39:AR41"/>
    <mergeCell ref="AS39:AS41"/>
    <mergeCell ref="AT39:AT47"/>
    <mergeCell ref="AU39:AU47"/>
    <mergeCell ref="AP42:AP44"/>
    <mergeCell ref="AQ42:AQ44"/>
    <mergeCell ref="AR42:AR44"/>
    <mergeCell ref="AS42:AS44"/>
    <mergeCell ref="AJ42:AJ44"/>
    <mergeCell ref="AK42:AK44"/>
    <mergeCell ref="AL42:AL44"/>
    <mergeCell ref="AM42:AM44"/>
    <mergeCell ref="AN42:AN44"/>
    <mergeCell ref="AO42:AO44"/>
    <mergeCell ref="AJ39:AJ41"/>
    <mergeCell ref="AK39:AK41"/>
    <mergeCell ref="AL39:AL41"/>
    <mergeCell ref="AM39:AM41"/>
    <mergeCell ref="AN39:AN41"/>
    <mergeCell ref="AO39:AO41"/>
    <mergeCell ref="AD39:AD41"/>
    <mergeCell ref="AE39:AE41"/>
    <mergeCell ref="AF39:AF41"/>
    <mergeCell ref="AG39:AG41"/>
    <mergeCell ref="AH39:AH41"/>
    <mergeCell ref="AI39:AI41"/>
    <mergeCell ref="X39:X41"/>
    <mergeCell ref="Y39:Y41"/>
    <mergeCell ref="Z39:Z41"/>
    <mergeCell ref="AA39:AA41"/>
    <mergeCell ref="AB39:AB41"/>
    <mergeCell ref="AC39:AC41"/>
    <mergeCell ref="BO36:BO38"/>
    <mergeCell ref="BP36:BP38"/>
    <mergeCell ref="BQ36:BQ38"/>
    <mergeCell ref="BR36:BR38"/>
    <mergeCell ref="BS36:BS47"/>
    <mergeCell ref="BN39:BN47"/>
    <mergeCell ref="BO39:BO47"/>
    <mergeCell ref="BP39:BP47"/>
    <mergeCell ref="BQ39:BQ47"/>
    <mergeCell ref="BH36:BH38"/>
    <mergeCell ref="BI36:BI38"/>
    <mergeCell ref="BJ36:BJ38"/>
    <mergeCell ref="BK36:BK38"/>
    <mergeCell ref="BL36:BL38"/>
    <mergeCell ref="BM36:BM38"/>
    <mergeCell ref="BB36:BB38"/>
    <mergeCell ref="BC36:BC38"/>
    <mergeCell ref="BD36:BD38"/>
    <mergeCell ref="BE36:BE38"/>
    <mergeCell ref="BF36:BF38"/>
    <mergeCell ref="BG36:BG38"/>
    <mergeCell ref="BF39:BF47"/>
    <mergeCell ref="BG39:BG47"/>
    <mergeCell ref="AV36:AV38"/>
    <mergeCell ref="AW36:AW38"/>
    <mergeCell ref="AX36:AX38"/>
    <mergeCell ref="AY36:AY38"/>
    <mergeCell ref="AZ36:AZ38"/>
    <mergeCell ref="BA36:BA38"/>
    <mergeCell ref="AR33:AR35"/>
    <mergeCell ref="AS33:AS35"/>
    <mergeCell ref="C36:C47"/>
    <mergeCell ref="D36:D38"/>
    <mergeCell ref="AT36:AT38"/>
    <mergeCell ref="AU36:AU38"/>
    <mergeCell ref="D39:D47"/>
    <mergeCell ref="E39:E41"/>
    <mergeCell ref="V39:V41"/>
    <mergeCell ref="W39:W41"/>
    <mergeCell ref="AL33:AL35"/>
    <mergeCell ref="AM33:AM35"/>
    <mergeCell ref="AN33:AN35"/>
    <mergeCell ref="AO33:AO35"/>
    <mergeCell ref="AP33:AP35"/>
    <mergeCell ref="AQ33:AQ35"/>
    <mergeCell ref="AF33:AF35"/>
    <mergeCell ref="AG33:AG35"/>
    <mergeCell ref="AH33:AH35"/>
    <mergeCell ref="AI33:AI35"/>
    <mergeCell ref="AJ33:AJ35"/>
    <mergeCell ref="AK33:AK35"/>
    <mergeCell ref="Z33:Z35"/>
    <mergeCell ref="AB33:AB35"/>
    <mergeCell ref="AC33:AC35"/>
    <mergeCell ref="E33:E35"/>
    <mergeCell ref="V33:V35"/>
    <mergeCell ref="W33:W35"/>
    <mergeCell ref="X33:X35"/>
    <mergeCell ref="Y33:Y35"/>
    <mergeCell ref="AI30:AI32"/>
    <mergeCell ref="AJ30:AJ32"/>
    <mergeCell ref="AK30:AK32"/>
    <mergeCell ref="AL30:AL32"/>
    <mergeCell ref="AM30:AM32"/>
    <mergeCell ref="AN30:AN32"/>
    <mergeCell ref="AC30:AC32"/>
    <mergeCell ref="AD30:AD32"/>
    <mergeCell ref="AE30:AE32"/>
    <mergeCell ref="AF30:AF32"/>
    <mergeCell ref="AG30:AG32"/>
    <mergeCell ref="AH30:AH32"/>
    <mergeCell ref="W30:W32"/>
    <mergeCell ref="X30:X32"/>
    <mergeCell ref="Y30:Y32"/>
    <mergeCell ref="Z30:Z32"/>
    <mergeCell ref="AA30:AA32"/>
    <mergeCell ref="AB30:AB32"/>
    <mergeCell ref="BL27:BL35"/>
    <mergeCell ref="BM27:BM35"/>
    <mergeCell ref="BN27:BN35"/>
    <mergeCell ref="BO27:BO35"/>
    <mergeCell ref="BP27:BP35"/>
    <mergeCell ref="BQ27:BQ35"/>
    <mergeCell ref="BF27:BF35"/>
    <mergeCell ref="BG27:BG35"/>
    <mergeCell ref="BH27:BH35"/>
    <mergeCell ref="BI27:BI35"/>
    <mergeCell ref="BJ27:BJ35"/>
    <mergeCell ref="BK27:BK35"/>
    <mergeCell ref="AZ27:AZ35"/>
    <mergeCell ref="BA27:BA35"/>
    <mergeCell ref="BB27:BB35"/>
    <mergeCell ref="BC27:BC35"/>
    <mergeCell ref="BD27:BD35"/>
    <mergeCell ref="BE27:BE35"/>
    <mergeCell ref="AT27:AT35"/>
    <mergeCell ref="AU27:AU35"/>
    <mergeCell ref="AV27:AV35"/>
    <mergeCell ref="AW27:AW35"/>
    <mergeCell ref="AD33:AD35"/>
    <mergeCell ref="AE33:AE35"/>
    <mergeCell ref="AO30:AO32"/>
    <mergeCell ref="AP30:AP32"/>
    <mergeCell ref="AX27:AX35"/>
    <mergeCell ref="AY27:AY35"/>
    <mergeCell ref="AN27:AN29"/>
    <mergeCell ref="AO27:AO29"/>
    <mergeCell ref="AP27:AP29"/>
    <mergeCell ref="AQ27:AQ29"/>
    <mergeCell ref="AR27:AR29"/>
    <mergeCell ref="AS27:AS29"/>
    <mergeCell ref="AH27:AH29"/>
    <mergeCell ref="AI27:AI29"/>
    <mergeCell ref="AJ27:AJ29"/>
    <mergeCell ref="AK27:AK29"/>
    <mergeCell ref="AL27:AL29"/>
    <mergeCell ref="AM27:AM29"/>
    <mergeCell ref="AC27:AC29"/>
    <mergeCell ref="AD27:AD29"/>
    <mergeCell ref="AE27:AE29"/>
    <mergeCell ref="AF27:AF29"/>
    <mergeCell ref="AG27:AG29"/>
    <mergeCell ref="AQ30:AQ32"/>
    <mergeCell ref="AR30:AR32"/>
    <mergeCell ref="AS30:AS32"/>
    <mergeCell ref="AD23:AD24"/>
    <mergeCell ref="AE23:AE24"/>
    <mergeCell ref="AS25:AS26"/>
    <mergeCell ref="C27:C35"/>
    <mergeCell ref="D27:D35"/>
    <mergeCell ref="E27:E29"/>
    <mergeCell ref="V27:V29"/>
    <mergeCell ref="W27:W29"/>
    <mergeCell ref="X27:X29"/>
    <mergeCell ref="Y27:Y29"/>
    <mergeCell ref="Z27:Z29"/>
    <mergeCell ref="AA27:AA29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A33:AA35"/>
    <mergeCell ref="Y25:Y26"/>
    <mergeCell ref="Z25:Z26"/>
    <mergeCell ref="AA25:AA26"/>
    <mergeCell ref="AB25:AB26"/>
    <mergeCell ref="AC25:AC26"/>
    <mergeCell ref="AD25:AD26"/>
    <mergeCell ref="E30:E32"/>
    <mergeCell ref="V30:V32"/>
    <mergeCell ref="BC21:BC26"/>
    <mergeCell ref="BD21:BD26"/>
    <mergeCell ref="BE21:BE26"/>
    <mergeCell ref="BF21:BF26"/>
    <mergeCell ref="BG21:BG26"/>
    <mergeCell ref="BH21:BH26"/>
    <mergeCell ref="AW21:AW26"/>
    <mergeCell ref="AX21:AX26"/>
    <mergeCell ref="AY21:AY26"/>
    <mergeCell ref="AZ21:AZ26"/>
    <mergeCell ref="BA21:BA26"/>
    <mergeCell ref="BB21:BB26"/>
    <mergeCell ref="AQ21:AQ22"/>
    <mergeCell ref="AR21:AR22"/>
    <mergeCell ref="AS21:AS22"/>
    <mergeCell ref="AT21:AT26"/>
    <mergeCell ref="AL23:AL24"/>
    <mergeCell ref="AM23:AM24"/>
    <mergeCell ref="AN23:AN24"/>
    <mergeCell ref="AO23:AO24"/>
    <mergeCell ref="AP23:AP24"/>
    <mergeCell ref="AQ23:AQ24"/>
    <mergeCell ref="AU21:AU26"/>
    <mergeCell ref="AB27:AB29"/>
    <mergeCell ref="AV21:AV26"/>
    <mergeCell ref="AR23:AR24"/>
    <mergeCell ref="AS23:AS24"/>
    <mergeCell ref="AQ25:AQ26"/>
    <mergeCell ref="AR25:AR26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AF23:AF24"/>
    <mergeCell ref="AG23:AG24"/>
    <mergeCell ref="AH23:AH24"/>
    <mergeCell ref="AI23:AI24"/>
    <mergeCell ref="AJ23:AJ24"/>
    <mergeCell ref="AK23:AK24"/>
    <mergeCell ref="AJ25:AJ26"/>
    <mergeCell ref="Y21:Y22"/>
    <mergeCell ref="Z21:Z22"/>
    <mergeCell ref="AA21:AA22"/>
    <mergeCell ref="AB21:AB22"/>
    <mergeCell ref="AC21:AC22"/>
    <mergeCell ref="AD21:AD22"/>
    <mergeCell ref="C21:C26"/>
    <mergeCell ref="D21:D26"/>
    <mergeCell ref="E21:E22"/>
    <mergeCell ref="V21:V22"/>
    <mergeCell ref="W21:W22"/>
    <mergeCell ref="X21:X22"/>
    <mergeCell ref="E25:E26"/>
    <mergeCell ref="V25:V26"/>
    <mergeCell ref="W25:W26"/>
    <mergeCell ref="X25:X26"/>
    <mergeCell ref="AM16:AM20"/>
    <mergeCell ref="E16:E20"/>
    <mergeCell ref="V16:V20"/>
    <mergeCell ref="W16:W20"/>
    <mergeCell ref="X16:X20"/>
    <mergeCell ref="Y16:Y20"/>
    <mergeCell ref="Z16:Z20"/>
    <mergeCell ref="E23:E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L11:AL15"/>
    <mergeCell ref="AA11:AA15"/>
    <mergeCell ref="AB11:AB15"/>
    <mergeCell ref="AC11:AC15"/>
    <mergeCell ref="AD11:AD15"/>
    <mergeCell ref="AE11:AE15"/>
    <mergeCell ref="AF11:AF15"/>
    <mergeCell ref="AN16:AN20"/>
    <mergeCell ref="AO16:AO20"/>
    <mergeCell ref="AP16:AP20"/>
    <mergeCell ref="AQ16:AQ20"/>
    <mergeCell ref="AR16:AR20"/>
    <mergeCell ref="AG16:AG20"/>
    <mergeCell ref="AH16:AH20"/>
    <mergeCell ref="AI16:AI20"/>
    <mergeCell ref="AJ16:AJ20"/>
    <mergeCell ref="AK16:AK20"/>
    <mergeCell ref="AL16:AL20"/>
    <mergeCell ref="AA16:AA20"/>
    <mergeCell ref="AB16:AB20"/>
    <mergeCell ref="AC16:AC20"/>
    <mergeCell ref="AD16:AD20"/>
    <mergeCell ref="AE16:AE20"/>
    <mergeCell ref="AF16:AF20"/>
    <mergeCell ref="DP6:DP113"/>
    <mergeCell ref="DQ6:DQ113"/>
    <mergeCell ref="DS6:DS113"/>
    <mergeCell ref="DT6:DT113"/>
    <mergeCell ref="E11:E15"/>
    <mergeCell ref="V11:V15"/>
    <mergeCell ref="W11:W15"/>
    <mergeCell ref="X11:X15"/>
    <mergeCell ref="Y11:Y15"/>
    <mergeCell ref="Z11:Z15"/>
    <mergeCell ref="DJ6:DJ113"/>
    <mergeCell ref="DK6:DK113"/>
    <mergeCell ref="DL6:DL113"/>
    <mergeCell ref="DM6:DM113"/>
    <mergeCell ref="DN6:DN113"/>
    <mergeCell ref="DO6:DO113"/>
    <mergeCell ref="DD6:DD113"/>
    <mergeCell ref="DE6:DE113"/>
    <mergeCell ref="DF6:DF113"/>
    <mergeCell ref="DG6:DG113"/>
    <mergeCell ref="DH6:DH113"/>
    <mergeCell ref="DI6:DI113"/>
    <mergeCell ref="CX6:CX113"/>
    <mergeCell ref="CY6:CY113"/>
    <mergeCell ref="CZ6:CZ113"/>
    <mergeCell ref="DA6:DA113"/>
    <mergeCell ref="DB6:DB113"/>
    <mergeCell ref="DC6:DC113"/>
    <mergeCell ref="CR6:CR53"/>
    <mergeCell ref="CS6:CS113"/>
    <mergeCell ref="CT6:CT113"/>
    <mergeCell ref="CU6:CU113"/>
    <mergeCell ref="CV6:CV113"/>
    <mergeCell ref="CW6:CW113"/>
    <mergeCell ref="CL6:CL53"/>
    <mergeCell ref="CM6:CM53"/>
    <mergeCell ref="CN6:CN53"/>
    <mergeCell ref="CO6:CO53"/>
    <mergeCell ref="CP6:CP53"/>
    <mergeCell ref="CQ6:CQ53"/>
    <mergeCell ref="CF6:CF53"/>
    <mergeCell ref="CG6:CG53"/>
    <mergeCell ref="CH6:CH53"/>
    <mergeCell ref="CI6:CI53"/>
    <mergeCell ref="CJ6:CJ53"/>
    <mergeCell ref="CK6:CK53"/>
    <mergeCell ref="BZ6:BZ53"/>
    <mergeCell ref="CA6:CA53"/>
    <mergeCell ref="CB6:CB53"/>
    <mergeCell ref="CC6:CC53"/>
    <mergeCell ref="CD6:CD53"/>
    <mergeCell ref="CE6:CE53"/>
    <mergeCell ref="CM54:CM113"/>
    <mergeCell ref="CN54:CN113"/>
    <mergeCell ref="CO54:CO113"/>
    <mergeCell ref="CP54:CP113"/>
    <mergeCell ref="CQ54:CQ113"/>
    <mergeCell ref="CR54:CR113"/>
    <mergeCell ref="CG54:CG113"/>
    <mergeCell ref="CH54:CH113"/>
    <mergeCell ref="CI54:CI113"/>
    <mergeCell ref="CJ54:CJ113"/>
    <mergeCell ref="CK54:CK113"/>
    <mergeCell ref="CL54:CL113"/>
    <mergeCell ref="BT6:BT53"/>
    <mergeCell ref="BU6:BU53"/>
    <mergeCell ref="BV6:BV53"/>
    <mergeCell ref="BW6:BW53"/>
    <mergeCell ref="BX6:BX53"/>
    <mergeCell ref="BY6:BY53"/>
    <mergeCell ref="BN6:BN20"/>
    <mergeCell ref="BO6:BO20"/>
    <mergeCell ref="BP6:BP20"/>
    <mergeCell ref="BQ6:BQ20"/>
    <mergeCell ref="BR6:BR20"/>
    <mergeCell ref="BS6:BS20"/>
    <mergeCell ref="BH6:BH20"/>
    <mergeCell ref="BI6:BI20"/>
    <mergeCell ref="BJ6:BJ20"/>
    <mergeCell ref="BK6:BK20"/>
    <mergeCell ref="BL6:BL20"/>
    <mergeCell ref="BM6:BM20"/>
    <mergeCell ref="BO21:BO26"/>
    <mergeCell ref="BP21:BP26"/>
    <mergeCell ref="BQ21:BQ26"/>
    <mergeCell ref="BR21:BR26"/>
    <mergeCell ref="BS21:BS26"/>
    <mergeCell ref="BI21:BI26"/>
    <mergeCell ref="BJ21:BJ26"/>
    <mergeCell ref="BK21:BK26"/>
    <mergeCell ref="BL21:BL26"/>
    <mergeCell ref="BM21:BM26"/>
    <mergeCell ref="BN21:BN26"/>
    <mergeCell ref="BR27:BR35"/>
    <mergeCell ref="BS27:BS35"/>
    <mergeCell ref="BN36:BN38"/>
    <mergeCell ref="F4:F5"/>
    <mergeCell ref="BB6:BB20"/>
    <mergeCell ref="BC6:BC20"/>
    <mergeCell ref="BD6:BD20"/>
    <mergeCell ref="BE6:BE20"/>
    <mergeCell ref="BF6:BF20"/>
    <mergeCell ref="BG6:BG20"/>
    <mergeCell ref="AV6:AV20"/>
    <mergeCell ref="AW6:AW20"/>
    <mergeCell ref="AX6:AX20"/>
    <mergeCell ref="AY6:AY20"/>
    <mergeCell ref="AZ6:AZ20"/>
    <mergeCell ref="BA6:BA20"/>
    <mergeCell ref="AP6:AP10"/>
    <mergeCell ref="AQ6:AQ10"/>
    <mergeCell ref="AR6:AR10"/>
    <mergeCell ref="AS6:AS10"/>
    <mergeCell ref="AT6:AT20"/>
    <mergeCell ref="AU6:AU20"/>
    <mergeCell ref="AS11:AS15"/>
    <mergeCell ref="AS16:AS20"/>
    <mergeCell ref="AM11:AM15"/>
    <mergeCell ref="AN11:AN15"/>
    <mergeCell ref="AO11:AO15"/>
    <mergeCell ref="AP11:AP15"/>
    <mergeCell ref="AQ11:AQ15"/>
    <mergeCell ref="AR11:AR15"/>
    <mergeCell ref="AG11:AG15"/>
    <mergeCell ref="AH11:AH15"/>
    <mergeCell ref="AI11:AI15"/>
    <mergeCell ref="AJ11:AJ15"/>
    <mergeCell ref="AK11:AK15"/>
    <mergeCell ref="AJ6:AJ10"/>
    <mergeCell ref="AK6:AK10"/>
    <mergeCell ref="AL6:AL10"/>
    <mergeCell ref="AM6:AM10"/>
    <mergeCell ref="AN6:AN10"/>
    <mergeCell ref="AO6:AO10"/>
    <mergeCell ref="AD6:AD10"/>
    <mergeCell ref="AE6:AE10"/>
    <mergeCell ref="AF6:AF10"/>
    <mergeCell ref="AG6:AG10"/>
    <mergeCell ref="AH6:AH10"/>
    <mergeCell ref="AI6:AI10"/>
    <mergeCell ref="X6:X10"/>
    <mergeCell ref="Y6:Y10"/>
    <mergeCell ref="Z6:Z10"/>
    <mergeCell ref="AA6:AA10"/>
    <mergeCell ref="AB6:AB10"/>
    <mergeCell ref="AC6:AC10"/>
    <mergeCell ref="DT4:DT5"/>
    <mergeCell ref="A6:A113"/>
    <mergeCell ref="B6:B53"/>
    <mergeCell ref="C6:C20"/>
    <mergeCell ref="D6:D20"/>
    <mergeCell ref="E6:E10"/>
    <mergeCell ref="T6:T113"/>
    <mergeCell ref="U6:U113"/>
    <mergeCell ref="V6:V10"/>
    <mergeCell ref="W6:W10"/>
    <mergeCell ref="CF4:CQ4"/>
    <mergeCell ref="CR4:CR5"/>
    <mergeCell ref="CS4:DD4"/>
    <mergeCell ref="DE4:DP4"/>
    <mergeCell ref="DQ4:DQ5"/>
    <mergeCell ref="DS4:DS5"/>
    <mergeCell ref="AH4:AS4"/>
    <mergeCell ref="AT4:BE4"/>
    <mergeCell ref="BF4:BQ4"/>
    <mergeCell ref="BR4:BR5"/>
    <mergeCell ref="BS4:BS5"/>
    <mergeCell ref="BT4:CE4"/>
    <mergeCell ref="G4:G5"/>
    <mergeCell ref="H4:S4"/>
    <mergeCell ref="T4:T5"/>
    <mergeCell ref="U4:U5"/>
    <mergeCell ref="V4:AG4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CONTINUIDAD</vt:lpstr>
      <vt:lpstr>PRESION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EPSUsuario</dc:creator>
  <cp:lastModifiedBy>CESARIO ROMAN</cp:lastModifiedBy>
  <dcterms:created xsi:type="dcterms:W3CDTF">2026-03-06T15:10:45Z</dcterms:created>
  <dcterms:modified xsi:type="dcterms:W3CDTF">2026-10-12T01:15:27Z</dcterms:modified>
</cp:coreProperties>
</file>